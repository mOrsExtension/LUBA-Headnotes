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obby\Documents\Programming\LUBA\HeadNotes\LUBA-Headnotes\temp_utilities\"/>
    </mc:Choice>
  </mc:AlternateContent>
  <xr:revisionPtr revIDLastSave="0" documentId="13_ncr:1_{30AC4BFF-BD35-442A-81E0-7303E55EFD19}" xr6:coauthVersionLast="47" xr6:coauthVersionMax="47" xr10:uidLastSave="{00000000-0000-0000-0000-000000000000}"/>
  <bookViews>
    <workbookView xWindow="-108" yWindow="-108" windowWidth="23256" windowHeight="13896" xr2:uid="{7582CE64-17F4-4D2D-A61E-7C87878C18CF}"/>
  </bookViews>
  <sheets>
    <sheet name="HN" sheetId="1" r:id="rId1"/>
    <sheet name="Opinions" sheetId="2" r:id="rId2"/>
    <sheet name="Orders" sheetId="3" r:id="rId3"/>
  </sheets>
  <definedNames>
    <definedName name="_xlnm._FilterDatabase" localSheetId="0" hidden="1">HN!$A$3:$E$3</definedName>
    <definedName name="_xlnm._FilterDatabase" localSheetId="1" hidden="1">Opinions!$A$3:$D$3</definedName>
    <definedName name="_xlnm._FilterDatabase" localSheetId="2" hidden="1">Orders!$A$3:$C$3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103" i="1" l="1"/>
  <c r="A102" i="1"/>
  <c r="A101" i="1"/>
  <c r="A100" i="1"/>
  <c r="A99" i="1"/>
  <c r="A96" i="1"/>
  <c r="A95" i="1"/>
  <c r="A93" i="1"/>
  <c r="A92" i="1"/>
  <c r="A88" i="1"/>
  <c r="A87" i="1"/>
  <c r="A86" i="1"/>
  <c r="A85" i="1"/>
  <c r="A84" i="1"/>
  <c r="A83" i="1"/>
  <c r="A82" i="1"/>
  <c r="A75" i="1"/>
  <c r="A74" i="1"/>
  <c r="A72" i="1"/>
  <c r="A71" i="1"/>
  <c r="A67" i="1"/>
  <c r="A66" i="1"/>
  <c r="A64" i="1"/>
  <c r="A63" i="1"/>
  <c r="A62" i="1"/>
  <c r="A61" i="1"/>
  <c r="A59" i="1"/>
  <c r="A56" i="1"/>
  <c r="A55" i="1"/>
  <c r="A53" i="1"/>
  <c r="A51" i="1"/>
  <c r="A50" i="1"/>
  <c r="A47" i="1"/>
  <c r="A46" i="1"/>
  <c r="A45" i="1"/>
  <c r="A43" i="1"/>
  <c r="A41" i="1"/>
  <c r="A39" i="1"/>
  <c r="A38" i="1"/>
  <c r="A34" i="1"/>
  <c r="A32" i="1"/>
  <c r="A30" i="1"/>
  <c r="A29" i="1"/>
  <c r="A28" i="1"/>
  <c r="A25" i="1"/>
  <c r="A22" i="1"/>
  <c r="A18" i="1"/>
  <c r="A17" i="1"/>
  <c r="A16" i="1"/>
  <c r="A15" i="1"/>
  <c r="A14" i="1"/>
  <c r="A13" i="1"/>
  <c r="A12" i="1"/>
  <c r="A10" i="1"/>
  <c r="A9" i="1"/>
  <c r="A8" i="1"/>
  <c r="A7" i="1"/>
  <c r="A5" i="1"/>
  <c r="A11" i="1"/>
  <c r="A19" i="1"/>
  <c r="A20" i="1"/>
  <c r="A21" i="1"/>
  <c r="A23" i="1"/>
  <c r="A24" i="1"/>
  <c r="A26" i="1"/>
  <c r="A27" i="1"/>
  <c r="A31" i="1"/>
  <c r="A33" i="1"/>
  <c r="A35" i="1"/>
  <c r="A36" i="1"/>
  <c r="A37" i="1"/>
  <c r="A40" i="1"/>
  <c r="A42" i="1"/>
  <c r="A44" i="1"/>
  <c r="A48" i="1"/>
  <c r="A49" i="1"/>
  <c r="A52" i="1"/>
  <c r="A54" i="1"/>
  <c r="A57" i="1"/>
  <c r="A58" i="1"/>
  <c r="A60" i="1"/>
  <c r="A65" i="1"/>
  <c r="A68" i="1"/>
  <c r="A69" i="1"/>
  <c r="A70" i="1"/>
  <c r="A73" i="1"/>
  <c r="A76" i="1"/>
  <c r="A77" i="1"/>
  <c r="A78" i="1"/>
  <c r="A79" i="1"/>
  <c r="A80" i="1"/>
  <c r="A81" i="1"/>
  <c r="A89" i="1"/>
  <c r="A90" i="1"/>
  <c r="A91" i="1"/>
  <c r="A94" i="1"/>
  <c r="A97" i="1"/>
  <c r="A98" i="1"/>
  <c r="A6" i="1"/>
  <c r="A4" i="1"/>
</calcChain>
</file>

<file path=xl/sharedStrings.xml><?xml version="1.0" encoding="utf-8"?>
<sst xmlns="http://schemas.openxmlformats.org/spreadsheetml/2006/main" count="444" uniqueCount="337">
  <si>
    <t>HN</t>
  </si>
  <si>
    <t>23.3.8</t>
  </si>
  <si>
    <t>Italicize whole case name</t>
  </si>
  <si>
    <t>45/653</t>
  </si>
  <si>
    <t>1.5.4</t>
  </si>
  <si>
    <t>44/357</t>
  </si>
  <si>
    <t>28.8.3</t>
  </si>
  <si>
    <t>23/392</t>
  </si>
  <si>
    <t>Year</t>
  </si>
  <si>
    <t>Reporter</t>
  </si>
  <si>
    <t>78/1075</t>
  </si>
  <si>
    <t>21/445</t>
  </si>
  <si>
    <t>61/491</t>
  </si>
  <si>
    <t>30/95</t>
  </si>
  <si>
    <t>Dune city s/b Dunes</t>
  </si>
  <si>
    <t>80/1008</t>
  </si>
  <si>
    <t>Resport s/b Resort</t>
  </si>
  <si>
    <t>3.3.9</t>
  </si>
  <si>
    <t>70/314</t>
  </si>
  <si>
    <t>14/382</t>
  </si>
  <si>
    <t>Clackamas s/b Portland</t>
  </si>
  <si>
    <t>60/253</t>
  </si>
  <si>
    <t>Crook Crook County s/b Crook County</t>
  </si>
  <si>
    <t>65/179</t>
  </si>
  <si>
    <t>EEC Holding s/b EEC Holdings</t>
  </si>
  <si>
    <t>28/670</t>
  </si>
  <si>
    <t>1.6.1</t>
  </si>
  <si>
    <t>45/408</t>
  </si>
  <si>
    <t>Friends of Linn (missing v. City of Lebanon)</t>
  </si>
  <si>
    <t>25.3.8</t>
  </si>
  <si>
    <t>Friends of Linn (missing v. City of Lebanon) x2</t>
  </si>
  <si>
    <t>26.2.1</t>
  </si>
  <si>
    <t>Friends of Linn (missing v. City of Lebanon) x3</t>
  </si>
  <si>
    <t>37/13</t>
  </si>
  <si>
    <t>22/90</t>
  </si>
  <si>
    <t>1.2.2</t>
  </si>
  <si>
    <t>"GPA 1" s/b GPA1 (no space)</t>
  </si>
  <si>
    <t>74/527</t>
  </si>
  <si>
    <t>LUBA No 91-057 "to 061" is unique vs. 057-061 or 057/058/059/060/061</t>
  </si>
  <si>
    <t>27.12.3</t>
  </si>
  <si>
    <t>47/618</t>
  </si>
  <si>
    <t>"Holtzman" s/b Holzman</t>
  </si>
  <si>
    <t>42/176</t>
  </si>
  <si>
    <t>"Home builders" s/b "Homebuilders"</t>
  </si>
  <si>
    <t>43/597</t>
  </si>
  <si>
    <t>56/816</t>
  </si>
  <si>
    <t>Jacobsen v. "City of Winston" s/b "Douglas County"</t>
  </si>
  <si>
    <t>27.3.3</t>
  </si>
  <si>
    <t>81/1076</t>
  </si>
  <si>
    <t>25.3.4</t>
  </si>
  <si>
    <t>37/73</t>
  </si>
  <si>
    <t>25.6.2</t>
  </si>
  <si>
    <t>37/554</t>
  </si>
  <si>
    <t>17/910</t>
  </si>
  <si>
    <t>74/76</t>
  </si>
  <si>
    <t>Landwatch Lane County v. Lane County (delete "and the City of Coburg")</t>
  </si>
  <si>
    <t>"City of Talent" s/b "City of the Dalles"</t>
  </si>
  <si>
    <t>38/669</t>
  </si>
  <si>
    <t>Lentz v. Lane (delete ", City of Eugene &amp; City of Springfield"</t>
  </si>
  <si>
    <t>27.6.2</t>
  </si>
  <si>
    <t>43/567</t>
  </si>
  <si>
    <t>19/421</t>
  </si>
  <si>
    <t>LUBA No 89-137 "to 140" is unique vs "-140" or "/138/139/140"</t>
  </si>
  <si>
    <t>26.2.4</t>
  </si>
  <si>
    <t>33/284</t>
  </si>
  <si>
    <t xml:space="preserve">"Mount" Hood Stewardship Council s/b "Mt." </t>
  </si>
  <si>
    <t>"Mount" Hood Stewardship Council s/b "Mt." x2</t>
  </si>
  <si>
    <t>29.1.3</t>
  </si>
  <si>
    <t>29.3.2</t>
  </si>
  <si>
    <t>29.3.1</t>
  </si>
  <si>
    <t>37/314</t>
  </si>
  <si>
    <t>"Multitech" Eningeering s/b "Multi-Tech" x2</t>
  </si>
  <si>
    <t>31.3.16</t>
  </si>
  <si>
    <t>38/291</t>
  </si>
  <si>
    <t>"NW" Aggregates s/b "Northwest"</t>
  </si>
  <si>
    <t>33/45</t>
  </si>
  <si>
    <t>"NW" Environmental Advocates s/b "Northwest"</t>
  </si>
  <si>
    <t>48/78</t>
  </si>
  <si>
    <t>78/1070</t>
  </si>
  <si>
    <t>Renken v. "West Linn" s/b "Oregon City"</t>
  </si>
  <si>
    <t>76/308</t>
  </si>
  <si>
    <t>81/895</t>
  </si>
  <si>
    <t>2020-066 067 s/b 2020-066/067 (maybe already included?)</t>
  </si>
  <si>
    <t>Jacobus v. Klamath s/b 81 Or LUBA "1081" not "1076"</t>
  </si>
  <si>
    <t>81/1081</t>
  </si>
  <si>
    <t>Schrepel v. Yamhill s/b 81 Or LUBA "1076" not "1081"</t>
  </si>
  <si>
    <t>27.4.1</t>
  </si>
  <si>
    <t>56/806</t>
  </si>
  <si>
    <t>Southern Oregon Pipeline "(missing) Information Project" v. Coos County</t>
  </si>
  <si>
    <t>54/468</t>
  </si>
  <si>
    <t>"Sorenson" v. City of Creswell s/b Sorensen</t>
  </si>
  <si>
    <t>71/378</t>
  </si>
  <si>
    <t>Space Age "Fuels" v. Umatilla s/b "Fuel"</t>
  </si>
  <si>
    <t>68/360</t>
  </si>
  <si>
    <t>"STOP" v. West Linn s/b "Stop Tigard Oswego Project"</t>
  </si>
  <si>
    <t>1.1.1</t>
  </si>
  <si>
    <t>79/271</t>
  </si>
  <si>
    <t>29/158</t>
  </si>
  <si>
    <t>DLCD v. St. Helens is NOT 29 OR Luba 158 (that's only Mitchell v. Medford). I think it's "29 Or LUBA 485"?</t>
  </si>
  <si>
    <t>28/362</t>
  </si>
  <si>
    <t>Welch v. Portland is NOT 28 Or LUBA 362. That's only Von Lubken v. Hood River. I think it's 28 Or LUBA 439</t>
  </si>
  <si>
    <t>40/67</t>
  </si>
  <si>
    <t>Barney v. Crook is not 40 Or LUBA 67 (2001). That's only Waibel V. Crook. I'm not finding any Barney v. Crook reported opinion (Westlaw)</t>
  </si>
  <si>
    <t xml:space="preserve">Oregon City Leasing v. Columbia is not 25 Or LUBA 6. That's only Walker v. Clackamas. I  think it's 25 Or LUBA 129 </t>
  </si>
  <si>
    <t>25/6</t>
  </si>
  <si>
    <t>60/454</t>
  </si>
  <si>
    <t>Columbia "Riverkeepers" v. Clatsop s/b "Riverkeeper"</t>
  </si>
  <si>
    <t>50/718</t>
  </si>
  <si>
    <t>"2005 118" s/b "2005-118" (already fixed?)</t>
  </si>
  <si>
    <t>15/563</t>
  </si>
  <si>
    <t>Mill Creek Glen v. Umatila's year s/b 1987, not 1986</t>
  </si>
  <si>
    <t>26/185</t>
  </si>
  <si>
    <t>Friends of Bryant Woods Park is 1993 case, but in 1994 Opinions with same reporter. Not sure if 1994 dismissal was in a reporter</t>
  </si>
  <si>
    <t>Venable v. Albany in twice with same reporter but separate cases. Probably 11/18/97 wasn't reported</t>
  </si>
  <si>
    <t>33/1</t>
  </si>
  <si>
    <t>19/482</t>
  </si>
  <si>
    <t>Order w/ headnote, not available in order's collection (starts at 1999)</t>
  </si>
  <si>
    <t>20/507</t>
  </si>
  <si>
    <t>36/544</t>
  </si>
  <si>
    <t>Reporter number "36 Or LUBA 544" was left off Friends of Clean Living v. Polk</t>
  </si>
  <si>
    <t>41/108</t>
  </si>
  <si>
    <t>Farrell v. Jackson 41 Or LUBA "108" s/b "1" (per Westlaw &amp; Headnotes)</t>
  </si>
  <si>
    <t>50/209</t>
  </si>
  <si>
    <t>Doob v. Josephine missing 50 Or LUBA 209 case (per Westlaw &amp; Headnotes)</t>
  </si>
  <si>
    <t>18/515</t>
  </si>
  <si>
    <t>14/546</t>
  </si>
  <si>
    <t>Bainbridge v. *Lane* s/b v. "Linn"</t>
  </si>
  <si>
    <t>Notes</t>
  </si>
  <si>
    <t>Opinions Issues List</t>
  </si>
  <si>
    <t>Luba 2020/99</t>
  </si>
  <si>
    <t>Headnotes Issues List</t>
  </si>
  <si>
    <t>reporter (xx Or LUBA xx)</t>
  </si>
  <si>
    <t>6.1</t>
  </si>
  <si>
    <t>9.2</t>
  </si>
  <si>
    <t>26.4</t>
  </si>
  <si>
    <t>26.5</t>
  </si>
  <si>
    <t>28.2</t>
  </si>
  <si>
    <t>35</t>
  </si>
  <si>
    <t>14</t>
  </si>
  <si>
    <t>27.13</t>
  </si>
  <si>
    <t>29.4</t>
  </si>
  <si>
    <t>28.8.5</t>
  </si>
  <si>
    <t>81/193</t>
  </si>
  <si>
    <t>81/152</t>
  </si>
  <si>
    <t>Kamps-Huges uses LUBA No. not Or LUBA reporter x3</t>
  </si>
  <si>
    <t>81/20</t>
  </si>
  <si>
    <t>81/10</t>
  </si>
  <si>
    <t>27.11.1</t>
  </si>
  <si>
    <t>27.2.2</t>
  </si>
  <si>
    <t>74/73</t>
  </si>
  <si>
    <t>Opinions &amp; WL think Mann v. Marion Cty is not in reporter, but HN lists it as 74 Or LUBA 73?</t>
  </si>
  <si>
    <t>27.3.2</t>
  </si>
  <si>
    <t>72/480</t>
  </si>
  <si>
    <t>65/437</t>
  </si>
  <si>
    <t>Danielson v. Jackson Cty in WL and HN, but not in LUBA opinions (or maybe it's an order? WL has reporter as reconsideration of an order, maybe https://www.oregon.gov/luba/Docs/Opinions/2012/02-12/11103.pdf</t>
  </si>
  <si>
    <t>54/84</t>
  </si>
  <si>
    <t>62/550</t>
  </si>
  <si>
    <t>Citizens against LNG v Coos not in opinions, exists in HN &amp; WL</t>
  </si>
  <si>
    <t>Reporter left off Broken Top v. Deschutes "54 Or LUBA 84"</t>
  </si>
  <si>
    <t>43/4</t>
  </si>
  <si>
    <t>Ploeg v. Tillamook reporter in HN &amp; WL, but not in opinions</t>
  </si>
  <si>
    <t>Hood "Rver" s/b River</t>
  </si>
  <si>
    <t>"Deshutes" s/b Deschutes</t>
  </si>
  <si>
    <t>"Sarret" v. Lane s/b "Sarett" (1 r; 2 t's)</t>
  </si>
  <si>
    <t>37/80</t>
  </si>
  <si>
    <t>Kelley v. Cascade Locks says unpublished, but it's 37 OR LUBA 80</t>
  </si>
  <si>
    <t>36/686</t>
  </si>
  <si>
    <t>ODOT v Douglas (Sept version on remand) says unpublished, but it's 36 Or LUBA 686</t>
  </si>
  <si>
    <t>36/170</t>
  </si>
  <si>
    <t>Roberts v Clackamas says unpublished, but it's 36 Or LUBA 170</t>
  </si>
  <si>
    <t>36/131</t>
  </si>
  <si>
    <t>ODOT v Douglas (Apr version) says unpublished, but it's 36 Or LUBA 131</t>
  </si>
  <si>
    <t>Highland Condominium Association (missing "v. City of Eugene")</t>
  </si>
  <si>
    <t>"Vannata" v. St. Helens s/b "Vannatta" (2 n's, 2 t's)</t>
  </si>
  <si>
    <t>35/827</t>
  </si>
  <si>
    <t>35/820</t>
  </si>
  <si>
    <t>35/814</t>
  </si>
  <si>
    <t>35/800</t>
  </si>
  <si>
    <t>35/796</t>
  </si>
  <si>
    <t>35/786</t>
  </si>
  <si>
    <t>35/772</t>
  </si>
  <si>
    <t>35/764</t>
  </si>
  <si>
    <t>35/759</t>
  </si>
  <si>
    <t>35/754</t>
  </si>
  <si>
    <t>35/749</t>
  </si>
  <si>
    <t>35/737</t>
  </si>
  <si>
    <t>35/732</t>
  </si>
  <si>
    <t>35/701</t>
  </si>
  <si>
    <t>35/285</t>
  </si>
  <si>
    <t>ODOT v Coos says unpublished, but it's 35 Or LUBA 285</t>
  </si>
  <si>
    <t>ODOT v Mosier says unpublished, but it's 35 Or LUBA 701 (also, s/b in 1998, not 99) or it's linking wrong case?</t>
  </si>
  <si>
    <t>34/790</t>
  </si>
  <si>
    <t>34/781</t>
  </si>
  <si>
    <t>34/779</t>
  </si>
  <si>
    <t>34/775</t>
  </si>
  <si>
    <t>34/770</t>
  </si>
  <si>
    <t>34/747</t>
  </si>
  <si>
    <t>34/742</t>
  </si>
  <si>
    <t>34/736</t>
  </si>
  <si>
    <t>34/731</t>
  </si>
  <si>
    <t>34/720</t>
  </si>
  <si>
    <t>34/717</t>
  </si>
  <si>
    <t>Orders in HN after 1998, not printed in LUBA's website</t>
  </si>
  <si>
    <t>34/629</t>
  </si>
  <si>
    <t>Hashem v. Portland in WL &amp; HN, but not in opinions</t>
  </si>
  <si>
    <t>34/608</t>
  </si>
  <si>
    <t>ODOT v. Douglas (July version) says unpublished, but it's 34 Or LUBA 608</t>
  </si>
  <si>
    <t>34/561</t>
  </si>
  <si>
    <t>Fechtig v. Albany in WL &amp; HN, but not in opinions</t>
  </si>
  <si>
    <t>Johnson v. Clackamas "Count" s/b "County"</t>
  </si>
  <si>
    <t>Kimbrell uses LUBA No., s/b 81 Or LUBA 10</t>
  </si>
  <si>
    <t>York uses LUBA No., s/b 81 Or LUBA 20</t>
  </si>
  <si>
    <t>Mumper uses LUBA No., s/b 81 Or LUBA 152</t>
  </si>
  <si>
    <t>Pinnacle v. Sisters exists in a few 2016 cases, so unique 2015 case (also not in WL) may be typo or?? 72 Or LUBA 480 is not in WL</t>
  </si>
  <si>
    <t>Added</t>
  </si>
  <si>
    <t>42/484</t>
  </si>
  <si>
    <t>Duplicated headnotes</t>
  </si>
  <si>
    <t>various</t>
  </si>
  <si>
    <t>1981 cases takes liberties with HN title</t>
  </si>
  <si>
    <t>1.1.2</t>
  </si>
  <si>
    <t>35/1</t>
  </si>
  <si>
    <t>1.1.3</t>
  </si>
  <si>
    <t>51/701</t>
  </si>
  <si>
    <t>Doubled year in reporter for Hannah v. Eugene</t>
  </si>
  <si>
    <t>Missing reporter volume "51" for Bothman v. Eugene</t>
  </si>
  <si>
    <t>1.3.2</t>
  </si>
  <si>
    <t>34/423</t>
  </si>
  <si>
    <t>Missing headnote number</t>
  </si>
  <si>
    <t>1.4.1</t>
  </si>
  <si>
    <t>33/613</t>
  </si>
  <si>
    <t>Missing reporter "33 or LUBA" 613 for Port Dock 4 v. Newport</t>
  </si>
  <si>
    <t>1.4.2</t>
  </si>
  <si>
    <t>75/171</t>
  </si>
  <si>
    <t>1.4.3</t>
  </si>
  <si>
    <t>72/423</t>
  </si>
  <si>
    <t>Miswritten HN as 4.3 for 72 Or LUBA 423</t>
  </si>
  <si>
    <t>1.4.4</t>
  </si>
  <si>
    <t>1.8</t>
  </si>
  <si>
    <t>9.1</t>
  </si>
  <si>
    <t>Tab instead of space after HN</t>
  </si>
  <si>
    <t>79/1016</t>
  </si>
  <si>
    <t>Tab instead of space after HN #</t>
  </si>
  <si>
    <t>61/264</t>
  </si>
  <si>
    <t>Doubled "16." in HN</t>
  </si>
  <si>
    <t>16</t>
  </si>
  <si>
    <t>18.2</t>
  </si>
  <si>
    <t>27/256</t>
  </si>
  <si>
    <t>Hyphens instead of en-dash in headnote topic</t>
  </si>
  <si>
    <t>25.3.3</t>
  </si>
  <si>
    <t>various (2020)</t>
  </si>
  <si>
    <t>40/455</t>
  </si>
  <si>
    <t>Missing year (2001) for Donnell v. Union</t>
  </si>
  <si>
    <t>25.4.1</t>
  </si>
  <si>
    <t>15/546</t>
  </si>
  <si>
    <t>HN # missing &amp; name inconsistent for Cope v. Cannon Beach (x5)</t>
  </si>
  <si>
    <t>25.4.4</t>
  </si>
  <si>
    <t>78/53</t>
  </si>
  <si>
    <t>Missing LUBA from 78 Or **LUBA** 53</t>
  </si>
  <si>
    <t>25.11</t>
  </si>
  <si>
    <t>79/171</t>
  </si>
  <si>
    <t>Missing LUBA from 79 Or **LUBA** 171 (x3)</t>
  </si>
  <si>
    <t>Missing Year (1997) from NW Env Advocates v. Portland</t>
  </si>
  <si>
    <t>65/420</t>
  </si>
  <si>
    <t>Missing "LUBA Jurisidiction" before "- Land Use Decision" from HN topic</t>
  </si>
  <si>
    <t>26.2.8</t>
  </si>
  <si>
    <t>77/497</t>
  </si>
  <si>
    <t>Extra "Limited" in HN topic Carlson v. Brookings</t>
  </si>
  <si>
    <t>26.3</t>
  </si>
  <si>
    <t>Inconsistency in use of significant **impact/impacts** test</t>
  </si>
  <si>
    <t>26.7</t>
  </si>
  <si>
    <t>26/612</t>
  </si>
  <si>
    <t>Wrong year for Williams v. Clackamas s/b "(1993)"</t>
  </si>
  <si>
    <t>27.1</t>
  </si>
  <si>
    <t>32/463</t>
  </si>
  <si>
    <t>Unpublished headnote? Seems strange to have "Pfeifer v. City of Silverton, 32 Or LUBA 463 (1996) (unpublished headnote), rev’d and rem’d on other grounds, 146 Or App 191, 931 P2d 833 (1997)."</t>
  </si>
  <si>
    <t>27.3.1</t>
  </si>
  <si>
    <t>48/647</t>
  </si>
  <si>
    <t>Missing reporter "48 Or LUBA 647" for Nash v. Medford</t>
  </si>
  <si>
    <t>65/479</t>
  </si>
  <si>
    <t>Missing "LUBA Procedures/Rules" from before "- Record" in HN topic</t>
  </si>
  <si>
    <t>26/614</t>
  </si>
  <si>
    <t>Wrong year for Kaady v. Cannon Beach, s/b "(1993)"</t>
  </si>
  <si>
    <t>36/754</t>
  </si>
  <si>
    <t>"- Objections To" usually doesn't have "To" capitalized</t>
  </si>
  <si>
    <t>77/547</t>
  </si>
  <si>
    <t>Headnote is missing "27" from "27.4.1"</t>
  </si>
  <si>
    <t>27.5.1</t>
  </si>
  <si>
    <t>49/512</t>
  </si>
  <si>
    <t>Kane v. Beaverton s/b "49 Or LUBA 512 (2018)" not "(512)"</t>
  </si>
  <si>
    <t>27.5.5</t>
  </si>
  <si>
    <t>76/77</t>
  </si>
  <si>
    <t>Missing  "LUBA" from "LUBA Procedures/Rules" in HN topic</t>
  </si>
  <si>
    <t>78/1007</t>
  </si>
  <si>
    <t>Missing LUBA from 78 Or **LUBA** 1007</t>
  </si>
  <si>
    <t>27.6.3</t>
  </si>
  <si>
    <t>28.1</t>
  </si>
  <si>
    <t>28.6.3</t>
  </si>
  <si>
    <t>77/69</t>
  </si>
  <si>
    <t>Hyphen rather than en-dash between "LUBA Scope of Review *-* Waiver of Issues"</t>
  </si>
  <si>
    <t>74/190</t>
  </si>
  <si>
    <t>28.8.6</t>
  </si>
  <si>
    <t>76/1</t>
  </si>
  <si>
    <t>31/325</t>
  </si>
  <si>
    <t>Missing "Or" from 31 **Or** LUBA 325 (x2)</t>
  </si>
  <si>
    <t>HN # duplicated for McMonagle v. Ashland</t>
  </si>
  <si>
    <t>47/73</t>
  </si>
  <si>
    <t>"Inadequate" not capitalized in HN topic</t>
  </si>
  <si>
    <t>76/180</t>
  </si>
  <si>
    <t>Missing end of reporter from Hannah v. City of Eugene, 35 Or LUBA *1 (1998)*</t>
  </si>
  <si>
    <t>28.10</t>
  </si>
  <si>
    <t>Hyphen rather than en-dash in HN topic</t>
  </si>
  <si>
    <t>46/494</t>
  </si>
  <si>
    <t>Missing "76" from McLoughlin v. Oregon City, **76** Or LUBA 180</t>
  </si>
  <si>
    <t>Missing "51" from Bothman v. Eugene, **51** Or LUBA 701 (x2)</t>
  </si>
  <si>
    <t>Missing "Or" from Stewart v. Brookings, 31 **Or** LUBA 325</t>
  </si>
  <si>
    <t>31.1.3</t>
  </si>
  <si>
    <t>80/435</t>
  </si>
  <si>
    <t>Missing "Permits" from start of HN topic (x2)</t>
  </si>
  <si>
    <t>36.3</t>
  </si>
  <si>
    <t>25/82</t>
  </si>
  <si>
    <t>HN # s/b "36.3" not "336.3"</t>
  </si>
  <si>
    <t>37</t>
  </si>
  <si>
    <t>65/392</t>
  </si>
  <si>
    <t>Missing period after HN #, s/b "37." not "37" (x5)</t>
  </si>
  <si>
    <t>22/151</t>
  </si>
  <si>
    <t>Missing part of reporter in Terraces Condo Assoc. v. Portland, 22 Or LUBA **151 (1991)** (x2)</t>
  </si>
  <si>
    <t>39.3</t>
  </si>
  <si>
    <t>47.3</t>
  </si>
  <si>
    <t>53/580</t>
  </si>
  <si>
    <t>Em-dash instead of en-dash in HN Topic "Ballot Measure 37 (ORS 197.352) *–* State Waivers"</t>
  </si>
  <si>
    <t>Kola Tepee "al" s/b "Inc" (or maybe "et al"?)</t>
  </si>
  <si>
    <t>Bainbridge v. Linn, says unpublished, but it's 14 Or LUBA 546 in WL &amp; HN</t>
  </si>
  <si>
    <t>Miller v. City of Dunes City, published, exists in Westlaw &amp; HN at 18 Or LUBA 515, isn't in opinions</t>
  </si>
  <si>
    <t>(Definintely a lot more exist, just haven't gotten past 1998)</t>
  </si>
  <si>
    <t>Reporter ## Or LUBA ###</t>
  </si>
  <si>
    <t>Sortable HN #</t>
  </si>
  <si>
    <t>Missing "1.1.1" and "Generally" from HN for 1986 to 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</si>
</sst>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14" fontId="0" fillId="0" borderId="0" xfId="0" applyNumberFormat="1"/>
    <xf numFmtId="49" fontId="1" fillId="0" borderId="0" xfId="0" applyNumberFormat="1" applyFont="1" applyAlignment="1">
      <alignment wrapText="1"/>
    </xf>
    <xf numFmtId="49" fontId="0" fillId="0" borderId="0" xfId="0" applyNumberFormat="1" applyAlignment="1">
      <alignment wrapText="1"/>
    </xf>
    <xf numFmtId="14" fontId="0" fillId="0" borderId="0" xfId="0" applyNumberFormat="1" applyAlignment="1">
      <alignment wrapText="1"/>
    </xf>
    <xf numFmtId="49"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BFEA-A6C4-424B-A17E-FBA71FB68A89}">
  <dimension ref="A1:E103"/>
  <sheetViews>
    <sheetView tabSelected="1" workbookViewId="0">
      <pane ySplit="3" topLeftCell="A80" activePane="bottomLeft" state="frozen"/>
      <selection pane="bottomLeft" activeCell="H7" sqref="H7"/>
    </sheetView>
  </sheetViews>
  <sheetFormatPr defaultRowHeight="14.4" x14ac:dyDescent="0.3"/>
  <cols>
    <col min="1" max="1" width="8.88671875" style="1"/>
    <col min="2" max="2" width="8.88671875" style="6"/>
    <col min="3" max="3" width="11.5546875" style="1" customWidth="1"/>
    <col min="4" max="4" width="43.109375" style="1" customWidth="1"/>
    <col min="5" max="5" width="9.5546875" style="1" bestFit="1" customWidth="1"/>
    <col min="6" max="16384" width="8.88671875" style="1"/>
  </cols>
  <sheetData>
    <row r="1" spans="1:5" x14ac:dyDescent="0.3">
      <c r="B1" s="8" t="s">
        <v>130</v>
      </c>
      <c r="C1" s="3"/>
    </row>
    <row r="3" spans="1:5" s="3" customFormat="1" ht="28.8" x14ac:dyDescent="0.3">
      <c r="A3" s="3" t="s">
        <v>335</v>
      </c>
      <c r="B3" s="5" t="s">
        <v>0</v>
      </c>
      <c r="C3" s="3" t="s">
        <v>131</v>
      </c>
      <c r="D3" s="3" t="s">
        <v>127</v>
      </c>
      <c r="E3" s="3" t="s">
        <v>214</v>
      </c>
    </row>
    <row r="4" spans="1:5" ht="28.8" x14ac:dyDescent="0.3">
      <c r="A4" s="1">
        <f>_xlfn.NUMBERVALUE(IFERROR((LEFT(B4,FIND(".",B4))),B4)+IFERROR(MID(B4, FIND(".",B4)+1,10)/100, 0))</f>
        <v>1.0109999999999999</v>
      </c>
      <c r="B4" s="6" t="s">
        <v>95</v>
      </c>
      <c r="C4" s="1" t="s">
        <v>109</v>
      </c>
      <c r="D4" s="1" t="s">
        <v>110</v>
      </c>
      <c r="E4" s="7">
        <v>46169</v>
      </c>
    </row>
    <row r="5" spans="1:5" x14ac:dyDescent="0.3">
      <c r="A5" s="1">
        <f>_xlfn.NUMBERVALUE(IFERROR((LEFT(B5,FIND(".",B5))),B5)+IFERROR(MID(B5, FIND(".",B5)+1,10)/100, 0))</f>
        <v>1.0109999999999999</v>
      </c>
      <c r="B5" s="6" t="s">
        <v>95</v>
      </c>
      <c r="C5" s="1" t="s">
        <v>125</v>
      </c>
      <c r="D5" s="1" t="s">
        <v>126</v>
      </c>
      <c r="E5" s="7">
        <v>46169</v>
      </c>
    </row>
    <row r="6" spans="1:5" x14ac:dyDescent="0.3">
      <c r="A6" s="1">
        <f>_xlfn.NUMBERVALUE(IFERROR((LEFT(B6,FIND(".",B6))),B6)+IFERROR(MID(B6, FIND(".",B6)+1,10)/100, 0))</f>
        <v>1.0109999999999999</v>
      </c>
      <c r="B6" s="6" t="s">
        <v>95</v>
      </c>
      <c r="C6" s="1" t="s">
        <v>215</v>
      </c>
      <c r="D6" s="1" t="s">
        <v>216</v>
      </c>
      <c r="E6" s="7">
        <v>46128</v>
      </c>
    </row>
    <row r="7" spans="1:5" ht="28.8" x14ac:dyDescent="0.3">
      <c r="A7" s="1">
        <f>_xlfn.NUMBERVALUE(IFERROR((LEFT(B7,FIND(".",B7))),B7)+IFERROR(MID(B7, FIND(".",B7)+1,10)/100, 0))</f>
        <v>1.0109999999999999</v>
      </c>
      <c r="B7" s="6" t="s">
        <v>95</v>
      </c>
      <c r="C7" s="1" t="s">
        <v>217</v>
      </c>
      <c r="D7" s="1" t="s">
        <v>336</v>
      </c>
      <c r="E7" s="7">
        <v>46128</v>
      </c>
    </row>
    <row r="8" spans="1:5" x14ac:dyDescent="0.3">
      <c r="A8" s="1">
        <f>_xlfn.NUMBERVALUE(IFERROR((LEFT(B8,FIND(".",B8))),B8)+IFERROR(MID(B8, FIND(".",B8)+1,10)/100, 0))</f>
        <v>1.0109999999999999</v>
      </c>
      <c r="B8" s="6" t="s">
        <v>95</v>
      </c>
      <c r="C8" s="1" t="s">
        <v>217</v>
      </c>
      <c r="D8" s="1" t="s">
        <v>218</v>
      </c>
      <c r="E8" s="7">
        <v>46128</v>
      </c>
    </row>
    <row r="9" spans="1:5" x14ac:dyDescent="0.3">
      <c r="A9" s="1">
        <f>_xlfn.NUMBERVALUE(IFERROR((LEFT(B9,FIND(".",B9))),B9)+IFERROR(MID(B9, FIND(".",B9)+1,10)/100, 0))</f>
        <v>1.012</v>
      </c>
      <c r="B9" s="6" t="s">
        <v>219</v>
      </c>
      <c r="C9" s="1" t="s">
        <v>220</v>
      </c>
      <c r="D9" s="1" t="s">
        <v>223</v>
      </c>
      <c r="E9" s="7">
        <v>46128</v>
      </c>
    </row>
    <row r="10" spans="1:5" ht="28.8" x14ac:dyDescent="0.3">
      <c r="A10" s="1">
        <f>_xlfn.NUMBERVALUE(IFERROR((LEFT(B10,FIND(".",B10))),B10)+IFERROR(MID(B10, FIND(".",B10)+1,10)/100, 0))</f>
        <v>1.0129999999999999</v>
      </c>
      <c r="B10" s="6" t="s">
        <v>221</v>
      </c>
      <c r="C10" s="1" t="s">
        <v>222</v>
      </c>
      <c r="D10" s="1" t="s">
        <v>224</v>
      </c>
      <c r="E10" s="7">
        <v>46128</v>
      </c>
    </row>
    <row r="11" spans="1:5" x14ac:dyDescent="0.3">
      <c r="A11" s="1">
        <f>_xlfn.NUMBERVALUE(IFERROR((LEFT(B11,FIND(".",B11))),B11)+IFERROR(MID(B11, FIND(".",B11)+1,10)/100, 0))</f>
        <v>1.022</v>
      </c>
      <c r="B11" s="6" t="s">
        <v>35</v>
      </c>
      <c r="C11" s="1" t="s">
        <v>37</v>
      </c>
      <c r="D11" s="1" t="s">
        <v>36</v>
      </c>
      <c r="E11" s="7">
        <v>46169</v>
      </c>
    </row>
    <row r="12" spans="1:5" x14ac:dyDescent="0.3">
      <c r="A12" s="1">
        <f>_xlfn.NUMBERVALUE(IFERROR((LEFT(B12,FIND(".",B12))),B12)+IFERROR(MID(B12, FIND(".",B12)+1,10)/100, 0))</f>
        <v>1.032</v>
      </c>
      <c r="B12" s="6" t="s">
        <v>225</v>
      </c>
      <c r="C12" s="1" t="s">
        <v>226</v>
      </c>
      <c r="D12" s="1" t="s">
        <v>227</v>
      </c>
      <c r="E12" s="7">
        <v>46128</v>
      </c>
    </row>
    <row r="13" spans="1:5" ht="28.8" x14ac:dyDescent="0.3">
      <c r="A13" s="1">
        <f>_xlfn.NUMBERVALUE(IFERROR((LEFT(B13,FIND(".",B13))),B13)+IFERROR(MID(B13, FIND(".",B13)+1,10)/100, 0))</f>
        <v>1.0409999999999999</v>
      </c>
      <c r="B13" s="6" t="s">
        <v>228</v>
      </c>
      <c r="C13" s="1" t="s">
        <v>229</v>
      </c>
      <c r="D13" s="1" t="s">
        <v>230</v>
      </c>
      <c r="E13" s="7">
        <v>46128</v>
      </c>
    </row>
    <row r="14" spans="1:5" x14ac:dyDescent="0.3">
      <c r="A14" s="1">
        <f>_xlfn.NUMBERVALUE(IFERROR((LEFT(B14,FIND(".",B14))),B14)+IFERROR(MID(B14, FIND(".",B14)+1,10)/100, 0))</f>
        <v>1.0409999999999999</v>
      </c>
      <c r="B14" s="6" t="s">
        <v>228</v>
      </c>
      <c r="C14" s="1" t="s">
        <v>220</v>
      </c>
      <c r="D14" s="1" t="s">
        <v>223</v>
      </c>
      <c r="E14" s="7">
        <v>46128</v>
      </c>
    </row>
    <row r="15" spans="1:5" x14ac:dyDescent="0.3">
      <c r="A15" s="1">
        <f>_xlfn.NUMBERVALUE(IFERROR((LEFT(B15,FIND(".",B15))),B15)+IFERROR(MID(B15, FIND(".",B15)+1,10)/100, 0))</f>
        <v>1.042</v>
      </c>
      <c r="B15" s="6" t="s">
        <v>231</v>
      </c>
      <c r="C15" s="1" t="s">
        <v>232</v>
      </c>
      <c r="D15" s="1" t="s">
        <v>260</v>
      </c>
      <c r="E15" s="7">
        <v>46128</v>
      </c>
    </row>
    <row r="16" spans="1:5" x14ac:dyDescent="0.3">
      <c r="A16" s="1">
        <f>_xlfn.NUMBERVALUE(IFERROR((LEFT(B16,FIND(".",B16))),B16)+IFERROR(MID(B16, FIND(".",B16)+1,10)/100, 0))</f>
        <v>1.0429999999999999</v>
      </c>
      <c r="B16" s="6" t="s">
        <v>233</v>
      </c>
      <c r="C16" s="1" t="s">
        <v>232</v>
      </c>
      <c r="D16" s="1" t="s">
        <v>260</v>
      </c>
      <c r="E16" s="7">
        <v>46128</v>
      </c>
    </row>
    <row r="17" spans="1:5" x14ac:dyDescent="0.3">
      <c r="A17" s="1">
        <f>_xlfn.NUMBERVALUE(IFERROR((LEFT(B17,FIND(".",B17))),B17)+IFERROR(MID(B17, FIND(".",B17)+1,10)/100, 0))</f>
        <v>1.0429999999999999</v>
      </c>
      <c r="B17" s="6" t="s">
        <v>233</v>
      </c>
      <c r="C17" s="1" t="s">
        <v>234</v>
      </c>
      <c r="D17" s="1" t="s">
        <v>235</v>
      </c>
      <c r="E17" s="7">
        <v>46128</v>
      </c>
    </row>
    <row r="18" spans="1:5" ht="28.8" x14ac:dyDescent="0.3">
      <c r="A18" s="1">
        <f>_xlfn.NUMBERVALUE(IFERROR((LEFT(B18,FIND(".",B18))),B18)+IFERROR(MID(B18, FIND(".",B18)+1,10)/100, 0))</f>
        <v>1.044</v>
      </c>
      <c r="B18" s="6" t="s">
        <v>236</v>
      </c>
      <c r="C18" s="1" t="s">
        <v>222</v>
      </c>
      <c r="D18" s="1" t="s">
        <v>224</v>
      </c>
      <c r="E18" s="7">
        <v>46128</v>
      </c>
    </row>
    <row r="19" spans="1:5" x14ac:dyDescent="0.3">
      <c r="A19" s="1">
        <f>_xlfn.NUMBERVALUE(IFERROR((LEFT(B19,FIND(".",B19))),B19)+IFERROR(MID(B19, FIND(".",B19)+1,10)/100, 0))</f>
        <v>1.054</v>
      </c>
      <c r="B19" s="6" t="s">
        <v>4</v>
      </c>
      <c r="C19" s="1" t="s">
        <v>5</v>
      </c>
      <c r="D19" s="1" t="s">
        <v>2</v>
      </c>
      <c r="E19" s="7">
        <v>46169</v>
      </c>
    </row>
    <row r="20" spans="1:5" x14ac:dyDescent="0.3">
      <c r="A20" s="1">
        <f>_xlfn.NUMBERVALUE(IFERROR((LEFT(B20,FIND(".",B20))),B20)+IFERROR(MID(B20, FIND(".",B20)+1,10)/100, 0))</f>
        <v>1.054</v>
      </c>
      <c r="B20" s="6" t="s">
        <v>4</v>
      </c>
      <c r="C20" s="1" t="s">
        <v>25</v>
      </c>
      <c r="D20" s="1" t="s">
        <v>2</v>
      </c>
      <c r="E20" s="7">
        <v>46169</v>
      </c>
    </row>
    <row r="21" spans="1:5" x14ac:dyDescent="0.3">
      <c r="A21" s="1">
        <f>_xlfn.NUMBERVALUE(IFERROR((LEFT(B21,FIND(".",B21))),B21)+IFERROR(MID(B21, FIND(".",B21)+1,10)/100, 0))</f>
        <v>1.0609999999999999</v>
      </c>
      <c r="B21" s="6" t="s">
        <v>26</v>
      </c>
      <c r="C21" s="1" t="s">
        <v>27</v>
      </c>
      <c r="D21" s="1" t="s">
        <v>28</v>
      </c>
      <c r="E21" s="7">
        <v>46169</v>
      </c>
    </row>
    <row r="22" spans="1:5" x14ac:dyDescent="0.3">
      <c r="A22" s="1">
        <f>_xlfn.NUMBERVALUE(IFERROR((LEFT(B22,FIND(".",B22))),B22)+IFERROR(MID(B22, FIND(".",B22)+1,10)/100, 0))</f>
        <v>1.08</v>
      </c>
      <c r="B22" s="6" t="s">
        <v>237</v>
      </c>
      <c r="C22" s="1" t="s">
        <v>220</v>
      </c>
      <c r="D22" s="1" t="s">
        <v>223</v>
      </c>
      <c r="E22" s="7">
        <v>46128</v>
      </c>
    </row>
    <row r="23" spans="1:5" x14ac:dyDescent="0.3">
      <c r="A23" s="1">
        <f>_xlfn.NUMBERVALUE(IFERROR((LEFT(B23,FIND(".",B23))),B23)+IFERROR(MID(B23, FIND(".",B23)+1,10)/100, 0))</f>
        <v>3.0390000000000001</v>
      </c>
      <c r="B23" s="6" t="s">
        <v>17</v>
      </c>
      <c r="C23" s="1" t="s">
        <v>18</v>
      </c>
      <c r="D23" s="1" t="s">
        <v>2</v>
      </c>
      <c r="E23" s="7">
        <v>46169</v>
      </c>
    </row>
    <row r="24" spans="1:5" x14ac:dyDescent="0.3">
      <c r="A24" s="1">
        <f>_xlfn.NUMBERVALUE(IFERROR((LEFT(B24,FIND(".",B24))),B24)+IFERROR(MID(B24, FIND(".",B24)+1,10)/100, 0))</f>
        <v>6.01</v>
      </c>
      <c r="B24" s="6" t="s">
        <v>132</v>
      </c>
      <c r="C24" s="1" t="s">
        <v>37</v>
      </c>
      <c r="D24" s="1" t="s">
        <v>36</v>
      </c>
      <c r="E24" s="7">
        <v>46169</v>
      </c>
    </row>
    <row r="25" spans="1:5" x14ac:dyDescent="0.3">
      <c r="A25" s="1">
        <f>_xlfn.NUMBERVALUE(IFERROR((LEFT(B25,FIND(".",B25))),B25)+IFERROR(MID(B25, FIND(".",B25)+1,10)/100, 0))</f>
        <v>9.01</v>
      </c>
      <c r="B25" s="6" t="s">
        <v>238</v>
      </c>
      <c r="C25" s="1" t="s">
        <v>240</v>
      </c>
      <c r="D25" s="1" t="s">
        <v>241</v>
      </c>
      <c r="E25" s="7">
        <v>46128</v>
      </c>
    </row>
    <row r="26" spans="1:5" x14ac:dyDescent="0.3">
      <c r="A26" s="1">
        <f>_xlfn.NUMBERVALUE(IFERROR((LEFT(B26,FIND(".",B26))),B26)+IFERROR(MID(B26, FIND(".",B26)+1,10)/100, 0))</f>
        <v>9.02</v>
      </c>
      <c r="B26" s="6" t="s">
        <v>133</v>
      </c>
      <c r="C26" s="1" t="s">
        <v>3</v>
      </c>
      <c r="D26" s="1" t="s">
        <v>2</v>
      </c>
      <c r="E26" s="7">
        <v>46169</v>
      </c>
    </row>
    <row r="27" spans="1:5" x14ac:dyDescent="0.3">
      <c r="A27" s="1">
        <f>_xlfn.NUMBERVALUE(IFERROR((LEFT(B27,FIND(".",B27))),B27)+IFERROR(MID(B27, FIND(".",B27)+1,10)/100, 0))</f>
        <v>14</v>
      </c>
      <c r="B27" s="6" t="s">
        <v>138</v>
      </c>
      <c r="C27" s="1" t="s">
        <v>70</v>
      </c>
      <c r="D27" s="1" t="s">
        <v>71</v>
      </c>
      <c r="E27" s="7">
        <v>46169</v>
      </c>
    </row>
    <row r="28" spans="1:5" x14ac:dyDescent="0.3">
      <c r="A28" s="1">
        <f>_xlfn.NUMBERVALUE(IFERROR((LEFT(B28,FIND(".",B28))),B28)+IFERROR(MID(B28, FIND(".",B28)+1,10)/100, 0))</f>
        <v>16</v>
      </c>
      <c r="B28" s="6" t="s">
        <v>244</v>
      </c>
      <c r="C28" s="1" t="s">
        <v>242</v>
      </c>
      <c r="D28" s="1" t="s">
        <v>243</v>
      </c>
      <c r="E28" s="7">
        <v>46128</v>
      </c>
    </row>
    <row r="29" spans="1:5" x14ac:dyDescent="0.3">
      <c r="A29" s="1">
        <f>_xlfn.NUMBERVALUE(IFERROR((LEFT(B29,FIND(".",B29))),B29)+IFERROR(MID(B29, FIND(".",B29)+1,10)/100, 0))</f>
        <v>16</v>
      </c>
      <c r="B29" s="6" t="s">
        <v>244</v>
      </c>
      <c r="C29" s="1" t="s">
        <v>220</v>
      </c>
      <c r="D29" s="1" t="s">
        <v>223</v>
      </c>
      <c r="E29" s="7">
        <v>46128</v>
      </c>
    </row>
    <row r="30" spans="1:5" x14ac:dyDescent="0.3">
      <c r="A30" s="1">
        <f>_xlfn.NUMBERVALUE(IFERROR((LEFT(B30,FIND(".",B30))),B30)+IFERROR(MID(B30, FIND(".",B30)+1,10)/100, 0))</f>
        <v>18.02</v>
      </c>
      <c r="B30" s="6" t="s">
        <v>245</v>
      </c>
      <c r="C30" s="1" t="s">
        <v>246</v>
      </c>
      <c r="D30" s="1" t="s">
        <v>247</v>
      </c>
      <c r="E30" s="7">
        <v>46128</v>
      </c>
    </row>
    <row r="31" spans="1:5" x14ac:dyDescent="0.3">
      <c r="A31" s="1">
        <f>_xlfn.NUMBERVALUE(IFERROR((LEFT(B31,FIND(".",B31))),B31)+IFERROR(MID(B31, FIND(".",B31)+1,10)/100, 0))</f>
        <v>23.038</v>
      </c>
      <c r="B31" s="6" t="s">
        <v>1</v>
      </c>
      <c r="C31" s="1" t="s">
        <v>44</v>
      </c>
      <c r="D31" s="1" t="s">
        <v>2</v>
      </c>
      <c r="E31" s="7">
        <v>46169</v>
      </c>
    </row>
    <row r="32" spans="1:5" ht="28.8" x14ac:dyDescent="0.3">
      <c r="A32" s="1">
        <f>_xlfn.NUMBERVALUE(IFERROR((LEFT(B32,FIND(".",B32))),B32)+IFERROR(MID(B32, FIND(".",B32)+1,10)/100, 0))</f>
        <v>25.033000000000001</v>
      </c>
      <c r="B32" s="6" t="s">
        <v>248</v>
      </c>
      <c r="C32" s="1" t="s">
        <v>249</v>
      </c>
      <c r="D32" s="1" t="s">
        <v>239</v>
      </c>
      <c r="E32" s="7">
        <v>46128</v>
      </c>
    </row>
    <row r="33" spans="1:5" x14ac:dyDescent="0.3">
      <c r="A33" s="1">
        <f>_xlfn.NUMBERVALUE(IFERROR((LEFT(B33,FIND(".",B33))),B33)+IFERROR(MID(B33, FIND(".",B33)+1,10)/100, 0))</f>
        <v>25.033999999999999</v>
      </c>
      <c r="B33" s="6" t="s">
        <v>49</v>
      </c>
      <c r="C33" s="1" t="s">
        <v>50</v>
      </c>
      <c r="D33" s="1" t="s">
        <v>209</v>
      </c>
      <c r="E33" s="7">
        <v>46169</v>
      </c>
    </row>
    <row r="34" spans="1:5" x14ac:dyDescent="0.3">
      <c r="A34" s="1">
        <f>_xlfn.NUMBERVALUE(IFERROR((LEFT(B34,FIND(".",B34))),B34)+IFERROR(MID(B34, FIND(".",B34)+1,10)/100, 0))</f>
        <v>25.033999999999999</v>
      </c>
      <c r="B34" s="6" t="s">
        <v>49</v>
      </c>
      <c r="C34" s="1" t="s">
        <v>250</v>
      </c>
      <c r="D34" s="1" t="s">
        <v>251</v>
      </c>
      <c r="E34" s="7">
        <v>46128</v>
      </c>
    </row>
    <row r="35" spans="1:5" x14ac:dyDescent="0.3">
      <c r="A35" s="1">
        <f>_xlfn.NUMBERVALUE(IFERROR((LEFT(B35,FIND(".",B35))),B35)+IFERROR(MID(B35, FIND(".",B35)+1,10)/100, 0))</f>
        <v>25.038</v>
      </c>
      <c r="B35" s="6" t="s">
        <v>29</v>
      </c>
      <c r="C35" s="1" t="s">
        <v>27</v>
      </c>
      <c r="D35" s="1" t="s">
        <v>30</v>
      </c>
      <c r="E35" s="7">
        <v>46169</v>
      </c>
    </row>
    <row r="36" spans="1:5" x14ac:dyDescent="0.3">
      <c r="A36" s="1">
        <f>_xlfn.NUMBERVALUE(IFERROR((LEFT(B36,FIND(".",B36))),B36)+IFERROR(MID(B36, FIND(".",B36)+1,10)/100, 0))</f>
        <v>25.038</v>
      </c>
      <c r="B36" s="6" t="s">
        <v>29</v>
      </c>
      <c r="C36" s="1" t="s">
        <v>52</v>
      </c>
      <c r="D36" s="1" t="s">
        <v>2</v>
      </c>
      <c r="E36" s="7">
        <v>46169</v>
      </c>
    </row>
    <row r="37" spans="1:5" x14ac:dyDescent="0.3">
      <c r="A37" s="1">
        <f>_xlfn.NUMBERVALUE(IFERROR((LEFT(B37,FIND(".",B37))),B37)+IFERROR(MID(B37, FIND(".",B37)+1,10)/100, 0))</f>
        <v>25.038</v>
      </c>
      <c r="B37" s="6" t="s">
        <v>29</v>
      </c>
      <c r="C37" s="1" t="s">
        <v>77</v>
      </c>
      <c r="D37" s="1" t="s">
        <v>2</v>
      </c>
      <c r="E37" s="7">
        <v>46169</v>
      </c>
    </row>
    <row r="38" spans="1:5" ht="28.8" x14ac:dyDescent="0.3">
      <c r="A38" s="1">
        <f>_xlfn.NUMBERVALUE(IFERROR((LEFT(B38,FIND(".",B38))),B38)+IFERROR(MID(B38, FIND(".",B38)+1,10)/100, 0))</f>
        <v>25.041</v>
      </c>
      <c r="B38" s="6" t="s">
        <v>252</v>
      </c>
      <c r="C38" s="1" t="s">
        <v>253</v>
      </c>
      <c r="D38" s="1" t="s">
        <v>254</v>
      </c>
      <c r="E38" s="7">
        <v>46128</v>
      </c>
    </row>
    <row r="39" spans="1:5" x14ac:dyDescent="0.3">
      <c r="A39" s="1">
        <f>_xlfn.NUMBERVALUE(IFERROR((LEFT(B39,FIND(".",B39))),B39)+IFERROR(MID(B39, FIND(".",B39)+1,10)/100, 0))</f>
        <v>25.044</v>
      </c>
      <c r="B39" s="6" t="s">
        <v>255</v>
      </c>
      <c r="C39" s="1" t="s">
        <v>256</v>
      </c>
      <c r="D39" s="1" t="s">
        <v>257</v>
      </c>
      <c r="E39" s="7">
        <v>46128</v>
      </c>
    </row>
    <row r="40" spans="1:5" x14ac:dyDescent="0.3">
      <c r="A40" s="1">
        <f>_xlfn.NUMBERVALUE(IFERROR((LEFT(B40,FIND(".",B40))),B40)+IFERROR(MID(B40, FIND(".",B40)+1,10)/100, 0))</f>
        <v>25.062000000000001</v>
      </c>
      <c r="B40" s="6" t="s">
        <v>51</v>
      </c>
      <c r="C40" s="1" t="s">
        <v>50</v>
      </c>
      <c r="D40" s="1" t="s">
        <v>209</v>
      </c>
      <c r="E40" s="7">
        <v>46169</v>
      </c>
    </row>
    <row r="41" spans="1:5" x14ac:dyDescent="0.3">
      <c r="A41" s="1">
        <f>_xlfn.NUMBERVALUE(IFERROR((LEFT(B41,FIND(".",B41))),B41)+IFERROR(MID(B41, FIND(".",B41)+1,10)/100, 0))</f>
        <v>25.11</v>
      </c>
      <c r="B41" s="6" t="s">
        <v>258</v>
      </c>
      <c r="C41" s="1" t="s">
        <v>259</v>
      </c>
      <c r="D41" s="1" t="s">
        <v>260</v>
      </c>
      <c r="E41" s="7">
        <v>46128</v>
      </c>
    </row>
    <row r="42" spans="1:5" x14ac:dyDescent="0.3">
      <c r="A42" s="1">
        <f>_xlfn.NUMBERVALUE(IFERROR((LEFT(B42,FIND(".",B42))),B42)+IFERROR(MID(B42, FIND(".",B42)+1,10)/100, 0))</f>
        <v>26.021000000000001</v>
      </c>
      <c r="B42" s="6" t="s">
        <v>31</v>
      </c>
      <c r="C42" s="1" t="s">
        <v>27</v>
      </c>
      <c r="D42" s="1" t="s">
        <v>28</v>
      </c>
      <c r="E42" s="7">
        <v>46169</v>
      </c>
    </row>
    <row r="43" spans="1:5" ht="28.8" x14ac:dyDescent="0.3">
      <c r="A43" s="1">
        <f>_xlfn.NUMBERVALUE(IFERROR((LEFT(B43,FIND(".",B43))),B43)+IFERROR(MID(B43, FIND(".",B43)+1,10)/100, 0))</f>
        <v>26.021000000000001</v>
      </c>
      <c r="B43" s="6" t="s">
        <v>31</v>
      </c>
      <c r="C43" s="1" t="s">
        <v>75</v>
      </c>
      <c r="D43" s="1" t="s">
        <v>261</v>
      </c>
      <c r="E43" s="7">
        <v>46128</v>
      </c>
    </row>
    <row r="44" spans="1:5" x14ac:dyDescent="0.3">
      <c r="A44" s="1">
        <f>_xlfn.NUMBERVALUE(IFERROR((LEFT(B44,FIND(".",B44))),B44)+IFERROR(MID(B44, FIND(".",B44)+1,10)/100, 0))</f>
        <v>26.024000000000001</v>
      </c>
      <c r="B44" s="6" t="s">
        <v>63</v>
      </c>
      <c r="C44" s="1" t="s">
        <v>64</v>
      </c>
      <c r="D44" s="1" t="s">
        <v>66</v>
      </c>
      <c r="E44" s="7">
        <v>46169</v>
      </c>
    </row>
    <row r="45" spans="1:5" ht="28.8" x14ac:dyDescent="0.3">
      <c r="A45" s="1">
        <f>_xlfn.NUMBERVALUE(IFERROR((LEFT(B45,FIND(".",B45))),B45)+IFERROR(MID(B45, FIND(".",B45)+1,10)/100, 0))</f>
        <v>26.024000000000001</v>
      </c>
      <c r="B45" s="6" t="s">
        <v>63</v>
      </c>
      <c r="C45" s="1" t="s">
        <v>262</v>
      </c>
      <c r="D45" s="1" t="s">
        <v>263</v>
      </c>
      <c r="E45" s="7">
        <v>46128</v>
      </c>
    </row>
    <row r="46" spans="1:5" x14ac:dyDescent="0.3">
      <c r="A46" s="1">
        <f>_xlfn.NUMBERVALUE(IFERROR((LEFT(B46,FIND(".",B46))),B46)+IFERROR(MID(B46, FIND(".",B46)+1,10)/100, 0))</f>
        <v>26.027999999999999</v>
      </c>
      <c r="B46" s="6" t="s">
        <v>264</v>
      </c>
      <c r="C46" s="1" t="s">
        <v>265</v>
      </c>
      <c r="D46" s="1" t="s">
        <v>266</v>
      </c>
      <c r="E46" s="7">
        <v>46128</v>
      </c>
    </row>
    <row r="47" spans="1:5" ht="28.8" x14ac:dyDescent="0.3">
      <c r="A47" s="1">
        <f>_xlfn.NUMBERVALUE(IFERROR((LEFT(B47,FIND(".",B47))),B47)+IFERROR(MID(B47, FIND(".",B47)+1,10)/100, 0))</f>
        <v>26.03</v>
      </c>
      <c r="B47" s="6" t="s">
        <v>267</v>
      </c>
      <c r="C47" s="1" t="s">
        <v>217</v>
      </c>
      <c r="D47" s="1" t="s">
        <v>268</v>
      </c>
      <c r="E47" s="7">
        <v>46128</v>
      </c>
    </row>
    <row r="48" spans="1:5" x14ac:dyDescent="0.3">
      <c r="A48" s="1">
        <f>_xlfn.NUMBERVALUE(IFERROR((LEFT(B48,FIND(".",B48))),B48)+IFERROR(MID(B48, FIND(".",B48)+1,10)/100, 0))</f>
        <v>26.04</v>
      </c>
      <c r="B48" s="6" t="s">
        <v>134</v>
      </c>
      <c r="C48" s="1" t="s">
        <v>27</v>
      </c>
      <c r="D48" s="1" t="s">
        <v>32</v>
      </c>
      <c r="E48" s="7">
        <v>46169</v>
      </c>
    </row>
    <row r="49" spans="1:5" x14ac:dyDescent="0.3">
      <c r="A49" s="1">
        <f>_xlfn.NUMBERVALUE(IFERROR((LEFT(B49,FIND(".",B49))),B49)+IFERROR(MID(B49, FIND(".",B49)+1,10)/100, 0))</f>
        <v>26.05</v>
      </c>
      <c r="B49" s="6" t="s">
        <v>135</v>
      </c>
      <c r="C49" s="1" t="s">
        <v>44</v>
      </c>
      <c r="D49" s="1" t="s">
        <v>2</v>
      </c>
      <c r="E49" s="7">
        <v>46169</v>
      </c>
    </row>
    <row r="50" spans="1:5" x14ac:dyDescent="0.3">
      <c r="A50" s="1">
        <f>_xlfn.NUMBERVALUE(IFERROR((LEFT(B50,FIND(".",B50))),B50)+IFERROR(MID(B50, FIND(".",B50)+1,10)/100, 0))</f>
        <v>26.07</v>
      </c>
      <c r="B50" s="6" t="s">
        <v>269</v>
      </c>
      <c r="C50" s="1" t="s">
        <v>270</v>
      </c>
      <c r="D50" s="1" t="s">
        <v>271</v>
      </c>
      <c r="E50" s="7">
        <v>46128</v>
      </c>
    </row>
    <row r="51" spans="1:5" ht="57.6" x14ac:dyDescent="0.3">
      <c r="A51" s="1">
        <f>_xlfn.NUMBERVALUE(IFERROR((LEFT(B51,FIND(".",B51))),B51)+IFERROR(MID(B51, FIND(".",B51)+1,10)/100, 0))</f>
        <v>27.01</v>
      </c>
      <c r="B51" s="6" t="s">
        <v>272</v>
      </c>
      <c r="C51" s="1" t="s">
        <v>273</v>
      </c>
      <c r="D51" s="1" t="s">
        <v>274</v>
      </c>
      <c r="E51" s="7">
        <v>46128</v>
      </c>
    </row>
    <row r="52" spans="1:5" ht="28.8" x14ac:dyDescent="0.3">
      <c r="A52" s="1">
        <f>_xlfn.NUMBERVALUE(IFERROR((LEFT(B52,FIND(".",B52))),B52)+IFERROR(MID(B52, FIND(".",B52)+1,10)/100, 0))</f>
        <v>27.021999999999998</v>
      </c>
      <c r="B52" s="6" t="s">
        <v>148</v>
      </c>
      <c r="C52" s="1" t="s">
        <v>149</v>
      </c>
      <c r="D52" s="1" t="s">
        <v>150</v>
      </c>
      <c r="E52" s="7">
        <v>46169</v>
      </c>
    </row>
    <row r="53" spans="1:5" ht="28.8" x14ac:dyDescent="0.3">
      <c r="A53" s="1">
        <f>_xlfn.NUMBERVALUE(IFERROR((LEFT(B53,FIND(".",B53))),B53)+IFERROR(MID(B53, FIND(".",B53)+1,10)/100, 0))</f>
        <v>27.030999999999999</v>
      </c>
      <c r="B53" s="6" t="s">
        <v>275</v>
      </c>
      <c r="C53" s="1" t="s">
        <v>276</v>
      </c>
      <c r="D53" s="1" t="s">
        <v>277</v>
      </c>
      <c r="E53" s="7">
        <v>46128</v>
      </c>
    </row>
    <row r="54" spans="1:5" ht="43.2" x14ac:dyDescent="0.3">
      <c r="A54" s="1">
        <f>_xlfn.NUMBERVALUE(IFERROR((LEFT(B54,FIND(".",B54))),B54)+IFERROR(MID(B54, FIND(".",B54)+1,10)/100, 0))</f>
        <v>27.032</v>
      </c>
      <c r="B54" s="6" t="s">
        <v>151</v>
      </c>
      <c r="C54" s="1" t="s">
        <v>152</v>
      </c>
      <c r="D54" s="1" t="s">
        <v>213</v>
      </c>
      <c r="E54" s="7">
        <v>46169</v>
      </c>
    </row>
    <row r="55" spans="1:5" ht="28.8" x14ac:dyDescent="0.3">
      <c r="A55" s="1">
        <f>_xlfn.NUMBERVALUE(IFERROR((LEFT(B55,FIND(".",B55))),B55)+IFERROR(MID(B55, FIND(".",B55)+1,10)/100, 0))</f>
        <v>27.032</v>
      </c>
      <c r="B55" s="6" t="s">
        <v>151</v>
      </c>
      <c r="C55" s="1" t="s">
        <v>278</v>
      </c>
      <c r="D55" s="1" t="s">
        <v>279</v>
      </c>
      <c r="E55" s="7">
        <v>46128</v>
      </c>
    </row>
    <row r="56" spans="1:5" ht="28.8" x14ac:dyDescent="0.3">
      <c r="A56" s="1">
        <f>_xlfn.NUMBERVALUE(IFERROR((LEFT(B56,FIND(".",B56))),B56)+IFERROR(MID(B56, FIND(".",B56)+1,10)/100, 0))</f>
        <v>27.032</v>
      </c>
      <c r="B56" s="6" t="s">
        <v>151</v>
      </c>
      <c r="C56" s="1" t="s">
        <v>280</v>
      </c>
      <c r="D56" s="1" t="s">
        <v>281</v>
      </c>
      <c r="E56" s="7">
        <v>46128</v>
      </c>
    </row>
    <row r="57" spans="1:5" ht="28.8" x14ac:dyDescent="0.3">
      <c r="A57" s="1">
        <f>_xlfn.NUMBERVALUE(IFERROR((LEFT(B57,FIND(".",B57))),B57)+IFERROR(MID(B57, FIND(".",B57)+1,10)/100, 0))</f>
        <v>27.033000000000001</v>
      </c>
      <c r="B57" s="6" t="s">
        <v>47</v>
      </c>
      <c r="C57" s="1" t="s">
        <v>48</v>
      </c>
      <c r="D57" s="1" t="s">
        <v>83</v>
      </c>
      <c r="E57" s="7">
        <v>46169</v>
      </c>
    </row>
    <row r="58" spans="1:5" ht="28.8" x14ac:dyDescent="0.3">
      <c r="A58" s="1">
        <f>_xlfn.NUMBERVALUE(IFERROR((LEFT(B58,FIND(".",B58))),B58)+IFERROR(MID(B58, FIND(".",B58)+1,10)/100, 0))</f>
        <v>27.033000000000001</v>
      </c>
      <c r="B58" s="6" t="s">
        <v>47</v>
      </c>
      <c r="C58" s="1" t="s">
        <v>84</v>
      </c>
      <c r="D58" s="1" t="s">
        <v>85</v>
      </c>
      <c r="E58" s="7">
        <v>46169</v>
      </c>
    </row>
    <row r="59" spans="1:5" ht="28.8" x14ac:dyDescent="0.3">
      <c r="A59" s="1">
        <f>_xlfn.NUMBERVALUE(IFERROR((LEFT(B59,FIND(".",B59))),B59)+IFERROR(MID(B59, FIND(".",B59)+1,10)/100, 0))</f>
        <v>27.033000000000001</v>
      </c>
      <c r="B59" s="6" t="s">
        <v>47</v>
      </c>
      <c r="C59" s="1" t="s">
        <v>282</v>
      </c>
      <c r="D59" s="1" t="s">
        <v>283</v>
      </c>
      <c r="E59" s="7">
        <v>46128</v>
      </c>
    </row>
    <row r="60" spans="1:5" ht="28.8" x14ac:dyDescent="0.3">
      <c r="A60" s="1">
        <f>_xlfn.NUMBERVALUE(IFERROR((LEFT(B60,FIND(".",B60))),B60)+IFERROR(MID(B60, FIND(".",B60)+1,10)/100, 0))</f>
        <v>27.041</v>
      </c>
      <c r="B60" s="6" t="s">
        <v>86</v>
      </c>
      <c r="C60" s="1" t="s">
        <v>84</v>
      </c>
      <c r="D60" s="1" t="s">
        <v>85</v>
      </c>
      <c r="E60" s="7">
        <v>46169</v>
      </c>
    </row>
    <row r="61" spans="1:5" x14ac:dyDescent="0.3">
      <c r="A61" s="1">
        <f>_xlfn.NUMBERVALUE(IFERROR((LEFT(B61,FIND(".",B61))),B61)+IFERROR(MID(B61, FIND(".",B61)+1,10)/100, 0))</f>
        <v>27.041</v>
      </c>
      <c r="B61" s="6" t="s">
        <v>86</v>
      </c>
      <c r="C61" s="1" t="s">
        <v>284</v>
      </c>
      <c r="D61" s="1" t="s">
        <v>285</v>
      </c>
      <c r="E61" s="7">
        <v>46128</v>
      </c>
    </row>
    <row r="62" spans="1:5" ht="28.8" x14ac:dyDescent="0.3">
      <c r="A62" s="1">
        <f>_xlfn.NUMBERVALUE(IFERROR((LEFT(B62,FIND(".",B62))),B62)+IFERROR(MID(B62, FIND(".",B62)+1,10)/100, 0))</f>
        <v>27.050999999999998</v>
      </c>
      <c r="B62" s="6" t="s">
        <v>286</v>
      </c>
      <c r="C62" s="1" t="s">
        <v>287</v>
      </c>
      <c r="D62" s="1" t="s">
        <v>288</v>
      </c>
      <c r="E62" s="7">
        <v>46128</v>
      </c>
    </row>
    <row r="63" spans="1:5" ht="28.8" x14ac:dyDescent="0.3">
      <c r="A63" s="1">
        <f>_xlfn.NUMBERVALUE(IFERROR((LEFT(B63,FIND(".",B63))),B63)+IFERROR(MID(B63, FIND(".",B63)+1,10)/100, 0))</f>
        <v>27.055</v>
      </c>
      <c r="B63" s="6" t="s">
        <v>289</v>
      </c>
      <c r="C63" s="1" t="s">
        <v>290</v>
      </c>
      <c r="D63" s="1" t="s">
        <v>291</v>
      </c>
      <c r="E63" s="7">
        <v>46128</v>
      </c>
    </row>
    <row r="64" spans="1:5" ht="28.8" x14ac:dyDescent="0.3">
      <c r="A64" s="1">
        <f>_xlfn.NUMBERVALUE(IFERROR((LEFT(B64,FIND(".",B64))),B64)+IFERROR(MID(B64, FIND(".",B64)+1,10)/100, 0))</f>
        <v>27.055</v>
      </c>
      <c r="B64" s="6" t="s">
        <v>289</v>
      </c>
      <c r="C64" s="1" t="s">
        <v>287</v>
      </c>
      <c r="D64" s="1" t="s">
        <v>288</v>
      </c>
      <c r="E64" s="7">
        <v>46128</v>
      </c>
    </row>
    <row r="65" spans="1:5" x14ac:dyDescent="0.3">
      <c r="A65" s="1">
        <f>_xlfn.NUMBERVALUE(IFERROR((LEFT(B65,FIND(".",B65))),B65)+IFERROR(MID(B65, FIND(".",B65)+1,10)/100, 0))</f>
        <v>27.062000000000001</v>
      </c>
      <c r="B65" s="6" t="s">
        <v>59</v>
      </c>
      <c r="C65" s="1" t="s">
        <v>60</v>
      </c>
      <c r="D65" s="1" t="s">
        <v>2</v>
      </c>
      <c r="E65" s="7">
        <v>46169</v>
      </c>
    </row>
    <row r="66" spans="1:5" x14ac:dyDescent="0.3">
      <c r="A66" s="1">
        <f>_xlfn.NUMBERVALUE(IFERROR((LEFT(B66,FIND(".",B66))),B66)+IFERROR(MID(B66, FIND(".",B66)+1,10)/100, 0))</f>
        <v>27.062000000000001</v>
      </c>
      <c r="B66" s="6" t="s">
        <v>59</v>
      </c>
      <c r="C66" s="1" t="s">
        <v>292</v>
      </c>
      <c r="D66" s="1" t="s">
        <v>293</v>
      </c>
      <c r="E66" s="7">
        <v>46128</v>
      </c>
    </row>
    <row r="67" spans="1:5" x14ac:dyDescent="0.3">
      <c r="A67" s="1">
        <f>_xlfn.NUMBERVALUE(IFERROR((LEFT(B67,FIND(".",B67))),B67)+IFERROR(MID(B67, FIND(".",B67)+1,10)/100, 0))</f>
        <v>27.062999999999999</v>
      </c>
      <c r="B67" s="6" t="s">
        <v>294</v>
      </c>
      <c r="C67" s="1" t="s">
        <v>292</v>
      </c>
      <c r="D67" s="1" t="s">
        <v>293</v>
      </c>
      <c r="E67" s="7">
        <v>46128</v>
      </c>
    </row>
    <row r="68" spans="1:5" ht="28.8" x14ac:dyDescent="0.3">
      <c r="A68" s="1">
        <f>_xlfn.NUMBERVALUE(IFERROR((LEFT(B68,FIND(".",B68))),B68)+IFERROR(MID(B68, FIND(".",B68)+1,10)/100, 0))</f>
        <v>27.111000000000001</v>
      </c>
      <c r="B68" s="6" t="s">
        <v>147</v>
      </c>
      <c r="C68" s="1" t="s">
        <v>149</v>
      </c>
      <c r="D68" s="1" t="s">
        <v>150</v>
      </c>
      <c r="E68" s="7">
        <v>46169</v>
      </c>
    </row>
    <row r="69" spans="1:5" x14ac:dyDescent="0.3">
      <c r="A69" s="1">
        <f>_xlfn.NUMBERVALUE(IFERROR((LEFT(B69,FIND(".",B69))),B69)+IFERROR(MID(B69, FIND(".",B69)+1,10)/100, 0))</f>
        <v>27.123000000000001</v>
      </c>
      <c r="B69" s="6" t="s">
        <v>39</v>
      </c>
      <c r="C69" s="1" t="s">
        <v>40</v>
      </c>
      <c r="D69" s="1" t="s">
        <v>41</v>
      </c>
      <c r="E69" s="7">
        <v>46169</v>
      </c>
    </row>
    <row r="70" spans="1:5" ht="28.8" x14ac:dyDescent="0.3">
      <c r="A70" s="1">
        <f>_xlfn.NUMBERVALUE(IFERROR((LEFT(B70,FIND(".",B70))),B70)+IFERROR(MID(B70, FIND(".",B70)+1,10)/100, 0))</f>
        <v>27.13</v>
      </c>
      <c r="B70" s="6" t="s">
        <v>139</v>
      </c>
      <c r="C70" s="1" t="s">
        <v>129</v>
      </c>
      <c r="D70" s="1" t="s">
        <v>56</v>
      </c>
      <c r="E70" s="7">
        <v>46169</v>
      </c>
    </row>
    <row r="71" spans="1:5" ht="57.6" x14ac:dyDescent="0.3">
      <c r="A71" s="1">
        <f>_xlfn.NUMBERVALUE(IFERROR((LEFT(B71,FIND(".",B71))),B71)+IFERROR(MID(B71, FIND(".",B71)+1,10)/100, 0))</f>
        <v>27.13</v>
      </c>
      <c r="B71" s="6" t="s">
        <v>139</v>
      </c>
      <c r="C71" s="1" t="s">
        <v>273</v>
      </c>
      <c r="D71" s="1" t="s">
        <v>274</v>
      </c>
      <c r="E71" s="7">
        <v>46128</v>
      </c>
    </row>
    <row r="72" spans="1:5" ht="28.8" x14ac:dyDescent="0.3">
      <c r="A72" s="1">
        <f>_xlfn.NUMBERVALUE(IFERROR((LEFT(B72,FIND(".",B72))),B72)+IFERROR(MID(B72, FIND(".",B72)+1,10)/100, 0))</f>
        <v>28.01</v>
      </c>
      <c r="B72" s="6" t="s">
        <v>295</v>
      </c>
      <c r="C72" s="1" t="s">
        <v>287</v>
      </c>
      <c r="D72" s="1" t="s">
        <v>288</v>
      </c>
      <c r="E72" s="7">
        <v>46128</v>
      </c>
    </row>
    <row r="73" spans="1:5" x14ac:dyDescent="0.3">
      <c r="A73" s="1">
        <f>_xlfn.NUMBERVALUE(IFERROR((LEFT(B73,FIND(".",B73))),B73)+IFERROR(MID(B73, FIND(".",B73)+1,10)/100, 0))</f>
        <v>28.02</v>
      </c>
      <c r="B73" s="6" t="s">
        <v>136</v>
      </c>
      <c r="C73" s="1" t="s">
        <v>37</v>
      </c>
      <c r="D73" s="1" t="s">
        <v>36</v>
      </c>
      <c r="E73" s="7">
        <v>46169</v>
      </c>
    </row>
    <row r="74" spans="1:5" ht="28.8" x14ac:dyDescent="0.3">
      <c r="A74" s="1">
        <f>_xlfn.NUMBERVALUE(IFERROR((LEFT(B74,FIND(".",B74))),B74)+IFERROR(MID(B74, FIND(".",B74)+1,10)/100, 0))</f>
        <v>28.062999999999999</v>
      </c>
      <c r="B74" s="6" t="s">
        <v>296</v>
      </c>
      <c r="C74" s="1" t="s">
        <v>297</v>
      </c>
      <c r="D74" s="1" t="s">
        <v>298</v>
      </c>
      <c r="E74" s="7">
        <v>46128</v>
      </c>
    </row>
    <row r="75" spans="1:5" ht="28.8" x14ac:dyDescent="0.3">
      <c r="A75" s="1">
        <f>_xlfn.NUMBERVALUE(IFERROR((LEFT(B75,FIND(".",B75))),B75)+IFERROR(MID(B75, FIND(".",B75)+1,10)/100, 0))</f>
        <v>28.062999999999999</v>
      </c>
      <c r="B75" s="6" t="s">
        <v>296</v>
      </c>
      <c r="C75" s="1" t="s">
        <v>299</v>
      </c>
      <c r="D75" s="1" t="s">
        <v>298</v>
      </c>
      <c r="E75" s="7">
        <v>46128</v>
      </c>
    </row>
    <row r="76" spans="1:5" x14ac:dyDescent="0.3">
      <c r="A76" s="1">
        <f>_xlfn.NUMBERVALUE(IFERROR((LEFT(B76,FIND(".",B76))),B76)+IFERROR(MID(B76, FIND(".",B76)+1,10)/100, 0))</f>
        <v>28.082999999999998</v>
      </c>
      <c r="B76" s="6" t="s">
        <v>6</v>
      </c>
      <c r="C76" s="1" t="s">
        <v>7</v>
      </c>
      <c r="D76" s="1" t="s">
        <v>2</v>
      </c>
      <c r="E76" s="7">
        <v>46169</v>
      </c>
    </row>
    <row r="77" spans="1:5" x14ac:dyDescent="0.3">
      <c r="A77" s="1">
        <f>_xlfn.NUMBERVALUE(IFERROR((LEFT(B77,FIND(".",B77))),B77)+IFERROR(MID(B77, FIND(".",B77)+1,10)/100, 0))</f>
        <v>28.082999999999998</v>
      </c>
      <c r="B77" s="6" t="s">
        <v>6</v>
      </c>
      <c r="C77" s="1" t="s">
        <v>78</v>
      </c>
      <c r="D77" s="1" t="s">
        <v>79</v>
      </c>
      <c r="E77" s="7">
        <v>46169</v>
      </c>
    </row>
    <row r="78" spans="1:5" ht="28.8" x14ac:dyDescent="0.3">
      <c r="A78" s="1">
        <f>_xlfn.NUMBERVALUE(IFERROR((LEFT(B78,FIND(".",B78))),B78)+IFERROR(MID(B78, FIND(".",B78)+1,10)/100, 0))</f>
        <v>28.085000000000001</v>
      </c>
      <c r="B78" s="6" t="s">
        <v>141</v>
      </c>
      <c r="C78" s="1" t="s">
        <v>142</v>
      </c>
      <c r="D78" s="1" t="s">
        <v>144</v>
      </c>
      <c r="E78" s="7">
        <v>46169</v>
      </c>
    </row>
    <row r="79" spans="1:5" x14ac:dyDescent="0.3">
      <c r="A79" s="1">
        <f>_xlfn.NUMBERVALUE(IFERROR((LEFT(B79,FIND(".",B79))),B79)+IFERROR(MID(B79, FIND(".",B79)+1,10)/100, 0))</f>
        <v>28.085000000000001</v>
      </c>
      <c r="B79" s="6" t="s">
        <v>141</v>
      </c>
      <c r="C79" s="1" t="s">
        <v>143</v>
      </c>
      <c r="D79" s="1" t="s">
        <v>212</v>
      </c>
      <c r="E79" s="7">
        <v>46169</v>
      </c>
    </row>
    <row r="80" spans="1:5" x14ac:dyDescent="0.3">
      <c r="A80" s="1">
        <f>_xlfn.NUMBERVALUE(IFERROR((LEFT(B80,FIND(".",B80))),B80)+IFERROR(MID(B80, FIND(".",B80)+1,10)/100, 0))</f>
        <v>28.085000000000001</v>
      </c>
      <c r="B80" s="6" t="s">
        <v>141</v>
      </c>
      <c r="C80" s="1" t="s">
        <v>145</v>
      </c>
      <c r="D80" s="1" t="s">
        <v>211</v>
      </c>
      <c r="E80" s="7">
        <v>46169</v>
      </c>
    </row>
    <row r="81" spans="1:5" x14ac:dyDescent="0.3">
      <c r="A81" s="1">
        <f>_xlfn.NUMBERVALUE(IFERROR((LEFT(B81,FIND(".",B81))),B81)+IFERROR(MID(B81, FIND(".",B81)+1,10)/100, 0))</f>
        <v>28.085000000000001</v>
      </c>
      <c r="B81" s="6" t="s">
        <v>141</v>
      </c>
      <c r="C81" s="1" t="s">
        <v>146</v>
      </c>
      <c r="D81" s="1" t="s">
        <v>210</v>
      </c>
      <c r="E81" s="7">
        <v>46169</v>
      </c>
    </row>
    <row r="82" spans="1:5" x14ac:dyDescent="0.3">
      <c r="A82" s="1">
        <f>_xlfn.NUMBERVALUE(IFERROR((LEFT(B82,FIND(".",B82))),B82)+IFERROR(MID(B82, FIND(".",B82)+1,10)/100, 0))</f>
        <v>28.085000000000001</v>
      </c>
      <c r="B82" s="6" t="s">
        <v>141</v>
      </c>
      <c r="C82" s="1" t="s">
        <v>256</v>
      </c>
      <c r="D82" s="1" t="s">
        <v>257</v>
      </c>
      <c r="E82" s="7">
        <v>46128</v>
      </c>
    </row>
    <row r="83" spans="1:5" x14ac:dyDescent="0.3">
      <c r="A83" s="1">
        <f>_xlfn.NUMBERVALUE(IFERROR((LEFT(B83,FIND(".",B83))),B83)+IFERROR(MID(B83, FIND(".",B83)+1,10)/100, 0))</f>
        <v>28.085000000000001</v>
      </c>
      <c r="B83" s="6" t="s">
        <v>141</v>
      </c>
      <c r="C83" s="1" t="s">
        <v>302</v>
      </c>
      <c r="D83" s="1" t="s">
        <v>303</v>
      </c>
      <c r="E83" s="7">
        <v>46128</v>
      </c>
    </row>
    <row r="84" spans="1:5" x14ac:dyDescent="0.3">
      <c r="A84" s="1">
        <f>_xlfn.NUMBERVALUE(IFERROR((LEFT(B84,FIND(".",B84))),B84)+IFERROR(MID(B84, FIND(".",B84)+1,10)/100, 0))</f>
        <v>28.085000000000001</v>
      </c>
      <c r="B84" s="6" t="s">
        <v>141</v>
      </c>
      <c r="C84" s="1" t="s">
        <v>301</v>
      </c>
      <c r="D84" s="1" t="s">
        <v>304</v>
      </c>
      <c r="E84" s="7">
        <v>46128</v>
      </c>
    </row>
    <row r="85" spans="1:5" x14ac:dyDescent="0.3">
      <c r="A85" s="1">
        <f>_xlfn.NUMBERVALUE(IFERROR((LEFT(B85,FIND(".",B85))),B85)+IFERROR(MID(B85, FIND(".",B85)+1,10)/100, 0))</f>
        <v>28.085999999999999</v>
      </c>
      <c r="B85" s="6" t="s">
        <v>300</v>
      </c>
      <c r="C85" s="1" t="s">
        <v>305</v>
      </c>
      <c r="D85" s="1" t="s">
        <v>306</v>
      </c>
      <c r="E85" s="7">
        <v>46128</v>
      </c>
    </row>
    <row r="86" spans="1:5" ht="28.8" x14ac:dyDescent="0.3">
      <c r="A86" s="1">
        <f>_xlfn.NUMBERVALUE(IFERROR((LEFT(B86,FIND(".",B86))),B86)+IFERROR(MID(B86, FIND(".",B86)+1,10)/100, 0))</f>
        <v>28.085999999999999</v>
      </c>
      <c r="B86" s="6" t="s">
        <v>300</v>
      </c>
      <c r="C86" s="1" t="s">
        <v>307</v>
      </c>
      <c r="D86" s="1" t="s">
        <v>312</v>
      </c>
      <c r="E86" s="7">
        <v>46128</v>
      </c>
    </row>
    <row r="87" spans="1:5" ht="28.8" x14ac:dyDescent="0.3">
      <c r="A87" s="1">
        <f>_xlfn.NUMBERVALUE(IFERROR((LEFT(B87,FIND(".",B87))),B87)+IFERROR(MID(B87, FIND(".",B87)+1,10)/100, 0))</f>
        <v>28.085999999999999</v>
      </c>
      <c r="B87" s="6" t="s">
        <v>300</v>
      </c>
      <c r="C87" s="1" t="s">
        <v>220</v>
      </c>
      <c r="D87" s="1" t="s">
        <v>308</v>
      </c>
      <c r="E87" s="7">
        <v>46128</v>
      </c>
    </row>
    <row r="88" spans="1:5" x14ac:dyDescent="0.3">
      <c r="A88" s="1">
        <f>_xlfn.NUMBERVALUE(IFERROR((LEFT(B88,FIND(".",B88))),B88)+IFERROR(MID(B88, FIND(".",B88)+1,10)/100, 0))</f>
        <v>28.1</v>
      </c>
      <c r="B88" s="6" t="s">
        <v>309</v>
      </c>
      <c r="C88" s="1" t="s">
        <v>311</v>
      </c>
      <c r="D88" s="1" t="s">
        <v>310</v>
      </c>
      <c r="E88" s="7">
        <v>46128</v>
      </c>
    </row>
    <row r="89" spans="1:5" x14ac:dyDescent="0.3">
      <c r="A89" s="1">
        <f>_xlfn.NUMBERVALUE(IFERROR((LEFT(B89,FIND(".",B89))),B89)+IFERROR(MID(B89, FIND(".",B89)+1,10)/100, 0))</f>
        <v>29.013000000000002</v>
      </c>
      <c r="B89" s="6" t="s">
        <v>67</v>
      </c>
      <c r="C89" s="1" t="s">
        <v>64</v>
      </c>
      <c r="D89" s="1" t="s">
        <v>65</v>
      </c>
      <c r="E89" s="7">
        <v>46169</v>
      </c>
    </row>
    <row r="90" spans="1:5" x14ac:dyDescent="0.3">
      <c r="A90" s="1">
        <f>_xlfn.NUMBERVALUE(IFERROR((LEFT(B90,FIND(".",B90))),B90)+IFERROR(MID(B90, FIND(".",B90)+1,10)/100, 0))</f>
        <v>29.030999999999999</v>
      </c>
      <c r="B90" s="6" t="s">
        <v>69</v>
      </c>
      <c r="C90" s="1" t="s">
        <v>64</v>
      </c>
      <c r="D90" s="1" t="s">
        <v>65</v>
      </c>
      <c r="E90" s="7">
        <v>46169</v>
      </c>
    </row>
    <row r="91" spans="1:5" x14ac:dyDescent="0.3">
      <c r="A91" s="1">
        <f>_xlfn.NUMBERVALUE(IFERROR((LEFT(B91,FIND(".",B91))),B91)+IFERROR(MID(B91, FIND(".",B91)+1,10)/100, 0))</f>
        <v>29.032</v>
      </c>
      <c r="B91" s="6" t="s">
        <v>68</v>
      </c>
      <c r="C91" s="1" t="s">
        <v>64</v>
      </c>
      <c r="D91" s="1" t="s">
        <v>65</v>
      </c>
      <c r="E91" s="7">
        <v>46169</v>
      </c>
    </row>
    <row r="92" spans="1:5" ht="28.8" x14ac:dyDescent="0.3">
      <c r="A92" s="1">
        <f>_xlfn.NUMBERVALUE(IFERROR((LEFT(B92,FIND(".",B92))),B92)+IFERROR(MID(B92, FIND(".",B92)+1,10)/100, 0))</f>
        <v>29.032</v>
      </c>
      <c r="B92" s="6" t="s">
        <v>68</v>
      </c>
      <c r="C92" s="1" t="s">
        <v>222</v>
      </c>
      <c r="D92" s="1" t="s">
        <v>313</v>
      </c>
      <c r="E92" s="7">
        <v>46128</v>
      </c>
    </row>
    <row r="93" spans="1:5" ht="28.8" x14ac:dyDescent="0.3">
      <c r="A93" s="1">
        <f>_xlfn.NUMBERVALUE(IFERROR((LEFT(B93,FIND(".",B93))),B93)+IFERROR(MID(B93, FIND(".",B93)+1,10)/100, 0))</f>
        <v>29.032</v>
      </c>
      <c r="B93" s="6" t="s">
        <v>68</v>
      </c>
      <c r="C93" s="1" t="s">
        <v>302</v>
      </c>
      <c r="D93" s="1" t="s">
        <v>314</v>
      </c>
      <c r="E93" s="7">
        <v>46128</v>
      </c>
    </row>
    <row r="94" spans="1:5" x14ac:dyDescent="0.3">
      <c r="A94" s="1">
        <f>_xlfn.NUMBERVALUE(IFERROR((LEFT(B94,FIND(".",B94))),B94)+IFERROR(MID(B94, FIND(".",B94)+1,10)/100, 0))</f>
        <v>29.04</v>
      </c>
      <c r="B94" s="6" t="s">
        <v>140</v>
      </c>
      <c r="C94" s="1" t="s">
        <v>64</v>
      </c>
      <c r="D94" s="1" t="s">
        <v>65</v>
      </c>
      <c r="E94" s="7">
        <v>46169</v>
      </c>
    </row>
    <row r="95" spans="1:5" x14ac:dyDescent="0.3">
      <c r="A95" s="1">
        <f>_xlfn.NUMBERVALUE(IFERROR((LEFT(B95,FIND(".",B95))),B95)+IFERROR(MID(B95, FIND(".",B95)+1,10)/100, 0))</f>
        <v>31.013000000000002</v>
      </c>
      <c r="B95" s="6" t="s">
        <v>315</v>
      </c>
      <c r="C95" s="1" t="s">
        <v>316</v>
      </c>
      <c r="D95" s="1" t="s">
        <v>317</v>
      </c>
      <c r="E95" s="7">
        <v>46128</v>
      </c>
    </row>
    <row r="96" spans="1:5" x14ac:dyDescent="0.3">
      <c r="A96" s="1">
        <f>_xlfn.NUMBERVALUE(IFERROR((LEFT(B96,FIND(".",B96))),B96)+IFERROR(MID(B96, FIND(".",B96)+1,10)/100, 0))</f>
        <v>31.013000000000002</v>
      </c>
      <c r="B96" s="6" t="s">
        <v>315</v>
      </c>
      <c r="C96" s="1" t="s">
        <v>259</v>
      </c>
      <c r="D96" s="1" t="s">
        <v>260</v>
      </c>
      <c r="E96" s="7">
        <v>46128</v>
      </c>
    </row>
    <row r="97" spans="1:5" x14ac:dyDescent="0.3">
      <c r="A97" s="1">
        <f>_xlfn.NUMBERVALUE(IFERROR((LEFT(B97,FIND(".",B97))),B97)+IFERROR(MID(B97, FIND(".",B97)+1,10)/100, 0))</f>
        <v>31.031600000000001</v>
      </c>
      <c r="B97" s="6" t="s">
        <v>72</v>
      </c>
      <c r="C97" s="1" t="s">
        <v>70</v>
      </c>
      <c r="D97" s="1" t="s">
        <v>71</v>
      </c>
      <c r="E97" s="7">
        <v>46169</v>
      </c>
    </row>
    <row r="98" spans="1:5" x14ac:dyDescent="0.3">
      <c r="A98" s="1">
        <f>_xlfn.NUMBERVALUE(IFERROR((LEFT(B98,FIND(".",B98))),B98)+IFERROR(MID(B98, FIND(".",B98)+1,10)/100, 0))</f>
        <v>35</v>
      </c>
      <c r="B98" s="6" t="s">
        <v>137</v>
      </c>
      <c r="C98" s="1" t="s">
        <v>11</v>
      </c>
      <c r="D98" s="1" t="s">
        <v>2</v>
      </c>
      <c r="E98" s="7">
        <v>46169</v>
      </c>
    </row>
    <row r="99" spans="1:5" x14ac:dyDescent="0.3">
      <c r="A99" s="1">
        <f>_xlfn.NUMBERVALUE(IFERROR((LEFT(B99,FIND(".",B99))),B99)+IFERROR(MID(B99, FIND(".",B99)+1,10)/100, 0))</f>
        <v>36.03</v>
      </c>
      <c r="B99" s="6" t="s">
        <v>318</v>
      </c>
      <c r="C99" s="1" t="s">
        <v>319</v>
      </c>
      <c r="D99" s="1" t="s">
        <v>320</v>
      </c>
      <c r="E99" s="7">
        <v>46128</v>
      </c>
    </row>
    <row r="100" spans="1:5" x14ac:dyDescent="0.3">
      <c r="A100" s="1">
        <f>_xlfn.NUMBERVALUE(IFERROR((LEFT(B100,FIND(".",B100))),B100)+IFERROR(MID(B100, FIND(".",B100)+1,10)/100, 0))</f>
        <v>37</v>
      </c>
      <c r="B100" s="6" t="s">
        <v>321</v>
      </c>
      <c r="C100" s="1" t="s">
        <v>322</v>
      </c>
      <c r="D100" s="1" t="s">
        <v>323</v>
      </c>
      <c r="E100" s="7">
        <v>46128</v>
      </c>
    </row>
    <row r="101" spans="1:5" ht="28.8" x14ac:dyDescent="0.3">
      <c r="A101" s="1">
        <f>_xlfn.NUMBERVALUE(IFERROR((LEFT(B101,FIND(".",B101))),B101)+IFERROR(MID(B101, FIND(".",B101)+1,10)/100, 0))</f>
        <v>37</v>
      </c>
      <c r="B101" s="6" t="s">
        <v>321</v>
      </c>
      <c r="C101" s="1" t="s">
        <v>324</v>
      </c>
      <c r="D101" s="1" t="s">
        <v>325</v>
      </c>
      <c r="E101" s="7">
        <v>46128</v>
      </c>
    </row>
    <row r="102" spans="1:5" ht="28.8" x14ac:dyDescent="0.3">
      <c r="A102" s="1">
        <f>_xlfn.NUMBERVALUE(IFERROR((LEFT(B102,FIND(".",B102))),B102)+IFERROR(MID(B102, FIND(".",B102)+1,10)/100, 0))</f>
        <v>39.03</v>
      </c>
      <c r="B102" s="6" t="s">
        <v>326</v>
      </c>
      <c r="C102" s="1" t="s">
        <v>287</v>
      </c>
      <c r="D102" s="1" t="s">
        <v>288</v>
      </c>
      <c r="E102" s="7">
        <v>46128</v>
      </c>
    </row>
    <row r="103" spans="1:5" ht="28.8" x14ac:dyDescent="0.3">
      <c r="A103" s="1">
        <f>_xlfn.NUMBERVALUE(IFERROR((LEFT(B103,FIND(".",B103))),B103)+IFERROR(MID(B103, FIND(".",B103)+1,10)/100, 0))</f>
        <v>47.03</v>
      </c>
      <c r="B103" s="6" t="s">
        <v>327</v>
      </c>
      <c r="C103" s="1" t="s">
        <v>328</v>
      </c>
      <c r="D103" s="1" t="s">
        <v>329</v>
      </c>
      <c r="E103" s="7">
        <v>46128</v>
      </c>
    </row>
  </sheetData>
  <autoFilter ref="A3:E3" xr:uid="{81A6BFEA-A6C4-424B-A17E-FBA71FB68A89}">
    <sortState xmlns:xlrd2="http://schemas.microsoft.com/office/spreadsheetml/2017/richdata2" ref="A4:E103">
      <sortCondition ref="A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A1BB-BC35-4B82-A4F1-9F187C892291}">
  <dimension ref="A1:D55"/>
  <sheetViews>
    <sheetView workbookViewId="0">
      <pane ySplit="3" topLeftCell="A4" activePane="bottomLeft" state="frozen"/>
      <selection pane="bottomLeft" activeCell="C6" sqref="C6"/>
    </sheetView>
  </sheetViews>
  <sheetFormatPr defaultRowHeight="14.4" x14ac:dyDescent="0.3"/>
  <cols>
    <col min="1" max="1" width="7.5546875" customWidth="1"/>
    <col min="2" max="2" width="10.5546875" bestFit="1" customWidth="1"/>
    <col min="3" max="3" width="43.6640625" style="1" customWidth="1"/>
    <col min="4" max="4" width="9.5546875" bestFit="1" customWidth="1"/>
  </cols>
  <sheetData>
    <row r="1" spans="1:4" x14ac:dyDescent="0.3">
      <c r="A1" s="2" t="s">
        <v>128</v>
      </c>
    </row>
    <row r="3" spans="1:4" x14ac:dyDescent="0.3">
      <c r="A3" s="2" t="s">
        <v>8</v>
      </c>
      <c r="B3" s="2" t="s">
        <v>9</v>
      </c>
      <c r="C3" s="3" t="s">
        <v>127</v>
      </c>
      <c r="D3" s="2" t="s">
        <v>214</v>
      </c>
    </row>
    <row r="4" spans="1:4" x14ac:dyDescent="0.3">
      <c r="A4">
        <v>1986</v>
      </c>
      <c r="B4" t="s">
        <v>19</v>
      </c>
      <c r="C4" s="1" t="s">
        <v>20</v>
      </c>
      <c r="D4" s="4">
        <v>46169</v>
      </c>
    </row>
    <row r="5" spans="1:4" ht="28.8" x14ac:dyDescent="0.3">
      <c r="A5">
        <v>1986</v>
      </c>
      <c r="B5" t="s">
        <v>125</v>
      </c>
      <c r="C5" s="1" t="s">
        <v>331</v>
      </c>
      <c r="D5" s="4">
        <v>46169</v>
      </c>
    </row>
    <row r="6" spans="1:4" x14ac:dyDescent="0.3">
      <c r="A6">
        <v>1989</v>
      </c>
      <c r="B6" t="s">
        <v>53</v>
      </c>
      <c r="C6" s="1" t="s">
        <v>330</v>
      </c>
      <c r="D6" s="4">
        <v>46169</v>
      </c>
    </row>
    <row r="7" spans="1:4" ht="28.8" x14ac:dyDescent="0.3">
      <c r="A7">
        <v>1989</v>
      </c>
      <c r="B7" t="s">
        <v>124</v>
      </c>
      <c r="C7" s="1" t="s">
        <v>332</v>
      </c>
      <c r="D7" s="4">
        <v>46169</v>
      </c>
    </row>
    <row r="8" spans="1:4" ht="28.8" x14ac:dyDescent="0.3">
      <c r="A8">
        <v>1990</v>
      </c>
      <c r="B8" t="s">
        <v>61</v>
      </c>
      <c r="C8" s="1" t="s">
        <v>62</v>
      </c>
      <c r="D8" s="4">
        <v>46169</v>
      </c>
    </row>
    <row r="9" spans="1:4" ht="28.8" x14ac:dyDescent="0.3">
      <c r="A9">
        <v>1990</v>
      </c>
      <c r="C9" s="1" t="s">
        <v>116</v>
      </c>
      <c r="D9" s="4">
        <v>46169</v>
      </c>
    </row>
    <row r="10" spans="1:4" ht="28.8" x14ac:dyDescent="0.3">
      <c r="A10">
        <v>1990</v>
      </c>
      <c r="C10" s="1" t="s">
        <v>116</v>
      </c>
      <c r="D10" s="4">
        <v>46169</v>
      </c>
    </row>
    <row r="11" spans="1:4" ht="28.8" x14ac:dyDescent="0.3">
      <c r="A11">
        <v>1991</v>
      </c>
      <c r="B11" t="s">
        <v>34</v>
      </c>
      <c r="C11" s="1" t="s">
        <v>38</v>
      </c>
      <c r="D11" s="4">
        <v>46169</v>
      </c>
    </row>
    <row r="12" spans="1:4" ht="43.2" x14ac:dyDescent="0.3">
      <c r="A12">
        <v>1993</v>
      </c>
      <c r="B12" t="s">
        <v>104</v>
      </c>
      <c r="C12" s="1" t="s">
        <v>103</v>
      </c>
      <c r="D12" s="4">
        <v>46169</v>
      </c>
    </row>
    <row r="13" spans="1:4" ht="43.2" x14ac:dyDescent="0.3">
      <c r="A13">
        <v>1994</v>
      </c>
      <c r="B13" t="s">
        <v>111</v>
      </c>
      <c r="C13" s="1" t="s">
        <v>112</v>
      </c>
      <c r="D13" s="4">
        <v>46169</v>
      </c>
    </row>
    <row r="14" spans="1:4" ht="43.2" x14ac:dyDescent="0.3">
      <c r="A14">
        <v>1994</v>
      </c>
      <c r="B14" t="s">
        <v>99</v>
      </c>
      <c r="C14" s="1" t="s">
        <v>100</v>
      </c>
      <c r="D14" s="4">
        <v>46169</v>
      </c>
    </row>
    <row r="15" spans="1:4" ht="43.2" x14ac:dyDescent="0.3">
      <c r="A15">
        <v>1995</v>
      </c>
      <c r="B15" t="s">
        <v>97</v>
      </c>
      <c r="C15" s="1" t="s">
        <v>98</v>
      </c>
      <c r="D15" s="4">
        <v>46169</v>
      </c>
    </row>
    <row r="16" spans="1:4" x14ac:dyDescent="0.3">
      <c r="A16">
        <v>1995</v>
      </c>
      <c r="B16" t="s">
        <v>13</v>
      </c>
      <c r="C16" s="1" t="s">
        <v>14</v>
      </c>
      <c r="D16" s="4">
        <v>46169</v>
      </c>
    </row>
    <row r="17" spans="1:4" ht="28.8" x14ac:dyDescent="0.3">
      <c r="A17">
        <v>1996</v>
      </c>
      <c r="B17" t="s">
        <v>114</v>
      </c>
      <c r="C17" s="1" t="s">
        <v>113</v>
      </c>
      <c r="D17" s="4">
        <v>46169</v>
      </c>
    </row>
    <row r="18" spans="1:4" x14ac:dyDescent="0.3">
      <c r="A18">
        <v>1997</v>
      </c>
      <c r="B18" t="s">
        <v>75</v>
      </c>
      <c r="C18" s="1" t="s">
        <v>76</v>
      </c>
      <c r="D18" s="4">
        <v>46169</v>
      </c>
    </row>
    <row r="19" spans="1:4" x14ac:dyDescent="0.3">
      <c r="A19">
        <v>1998</v>
      </c>
      <c r="B19" t="s">
        <v>207</v>
      </c>
      <c r="C19" s="1" t="s">
        <v>208</v>
      </c>
      <c r="D19" s="4">
        <v>46169</v>
      </c>
    </row>
    <row r="20" spans="1:4" ht="28.8" x14ac:dyDescent="0.3">
      <c r="A20">
        <v>1998</v>
      </c>
      <c r="B20" t="s">
        <v>205</v>
      </c>
      <c r="C20" s="1" t="s">
        <v>206</v>
      </c>
      <c r="D20" s="4">
        <v>46169</v>
      </c>
    </row>
    <row r="21" spans="1:4" x14ac:dyDescent="0.3">
      <c r="A21">
        <v>1998</v>
      </c>
      <c r="B21" t="s">
        <v>203</v>
      </c>
      <c r="C21" s="1" t="s">
        <v>204</v>
      </c>
      <c r="D21" s="4">
        <v>46169</v>
      </c>
    </row>
    <row r="22" spans="1:4" ht="28.8" x14ac:dyDescent="0.3">
      <c r="A22">
        <v>1998</v>
      </c>
      <c r="B22" t="s">
        <v>188</v>
      </c>
      <c r="C22" s="1" t="s">
        <v>189</v>
      </c>
      <c r="D22" s="4">
        <v>46169</v>
      </c>
    </row>
    <row r="23" spans="1:4" ht="43.2" x14ac:dyDescent="0.3">
      <c r="A23">
        <v>1999</v>
      </c>
      <c r="B23" t="s">
        <v>187</v>
      </c>
      <c r="C23" s="1" t="s">
        <v>190</v>
      </c>
      <c r="D23" s="4">
        <v>46169</v>
      </c>
    </row>
    <row r="24" spans="1:4" ht="28.8" x14ac:dyDescent="0.3">
      <c r="A24">
        <v>1999</v>
      </c>
      <c r="B24" t="s">
        <v>170</v>
      </c>
      <c r="C24" s="1" t="s">
        <v>171</v>
      </c>
      <c r="D24" s="4">
        <v>46169</v>
      </c>
    </row>
    <row r="25" spans="1:4" ht="28.8" x14ac:dyDescent="0.3">
      <c r="A25">
        <v>1999</v>
      </c>
      <c r="B25" t="s">
        <v>168</v>
      </c>
      <c r="C25" s="1" t="s">
        <v>169</v>
      </c>
      <c r="D25" s="4">
        <v>46169</v>
      </c>
    </row>
    <row r="26" spans="1:4" ht="28.8" x14ac:dyDescent="0.3">
      <c r="A26">
        <v>1999</v>
      </c>
      <c r="B26" t="s">
        <v>118</v>
      </c>
      <c r="C26" s="1" t="s">
        <v>119</v>
      </c>
      <c r="D26" s="4">
        <v>46169</v>
      </c>
    </row>
    <row r="27" spans="1:4" ht="28.8" x14ac:dyDescent="0.3">
      <c r="A27">
        <v>1999</v>
      </c>
      <c r="B27" t="s">
        <v>166</v>
      </c>
      <c r="C27" s="1" t="s">
        <v>167</v>
      </c>
      <c r="D27" s="4">
        <v>46169</v>
      </c>
    </row>
    <row r="28" spans="1:4" ht="28.8" x14ac:dyDescent="0.3">
      <c r="A28">
        <v>1999</v>
      </c>
      <c r="B28" t="s">
        <v>33</v>
      </c>
      <c r="C28" s="1" t="s">
        <v>172</v>
      </c>
      <c r="D28" s="4">
        <v>46169</v>
      </c>
    </row>
    <row r="29" spans="1:4" ht="28.8" x14ac:dyDescent="0.3">
      <c r="A29">
        <v>1999</v>
      </c>
      <c r="B29" t="s">
        <v>164</v>
      </c>
      <c r="C29" s="1" t="s">
        <v>165</v>
      </c>
      <c r="D29" s="4">
        <v>46169</v>
      </c>
    </row>
    <row r="30" spans="1:4" x14ac:dyDescent="0.3">
      <c r="A30">
        <v>2000</v>
      </c>
      <c r="B30" t="s">
        <v>73</v>
      </c>
      <c r="C30" s="1" t="s">
        <v>74</v>
      </c>
      <c r="D30" s="4">
        <v>46169</v>
      </c>
    </row>
    <row r="31" spans="1:4" ht="28.8" x14ac:dyDescent="0.3">
      <c r="A31">
        <v>2000</v>
      </c>
      <c r="B31" t="s">
        <v>57</v>
      </c>
      <c r="C31" s="1" t="s">
        <v>58</v>
      </c>
      <c r="D31" s="4">
        <v>46169</v>
      </c>
    </row>
    <row r="32" spans="1:4" ht="43.2" x14ac:dyDescent="0.3">
      <c r="A32">
        <v>2001</v>
      </c>
      <c r="B32" t="s">
        <v>101</v>
      </c>
      <c r="C32" s="1" t="s">
        <v>102</v>
      </c>
      <c r="D32" s="4">
        <v>46169</v>
      </c>
    </row>
    <row r="33" spans="1:4" ht="28.8" x14ac:dyDescent="0.3">
      <c r="A33">
        <v>2001</v>
      </c>
      <c r="B33" t="s">
        <v>120</v>
      </c>
      <c r="C33" s="1" t="s">
        <v>121</v>
      </c>
      <c r="D33" s="4">
        <v>46169</v>
      </c>
    </row>
    <row r="34" spans="1:4" x14ac:dyDescent="0.3">
      <c r="A34">
        <v>2002</v>
      </c>
      <c r="B34" t="s">
        <v>42</v>
      </c>
      <c r="C34" s="1" t="s">
        <v>43</v>
      </c>
      <c r="D34" s="4">
        <v>46169</v>
      </c>
    </row>
    <row r="35" spans="1:4" ht="28.8" x14ac:dyDescent="0.3">
      <c r="A35">
        <v>2002</v>
      </c>
      <c r="B35" t="s">
        <v>159</v>
      </c>
      <c r="C35" s="1" t="s">
        <v>160</v>
      </c>
      <c r="D35" s="4">
        <v>46169</v>
      </c>
    </row>
    <row r="36" spans="1:4" ht="28.8" x14ac:dyDescent="0.3">
      <c r="A36">
        <v>2005</v>
      </c>
      <c r="B36" t="s">
        <v>122</v>
      </c>
      <c r="C36" s="1" t="s">
        <v>123</v>
      </c>
      <c r="D36" s="4">
        <v>46169</v>
      </c>
    </row>
    <row r="37" spans="1:4" x14ac:dyDescent="0.3">
      <c r="A37">
        <v>2005</v>
      </c>
      <c r="B37" t="s">
        <v>107</v>
      </c>
      <c r="C37" s="1" t="s">
        <v>108</v>
      </c>
      <c r="D37" s="4">
        <v>46169</v>
      </c>
    </row>
    <row r="38" spans="1:4" x14ac:dyDescent="0.3">
      <c r="A38">
        <v>2007</v>
      </c>
      <c r="B38" t="s">
        <v>89</v>
      </c>
      <c r="C38" s="1" t="s">
        <v>90</v>
      </c>
      <c r="D38" s="4">
        <v>46169</v>
      </c>
    </row>
    <row r="39" spans="1:4" ht="28.8" x14ac:dyDescent="0.3">
      <c r="A39">
        <v>2007</v>
      </c>
      <c r="B39" t="s">
        <v>155</v>
      </c>
      <c r="C39" s="1" t="s">
        <v>158</v>
      </c>
      <c r="D39" s="4">
        <v>46169</v>
      </c>
    </row>
    <row r="40" spans="1:4" ht="28.8" x14ac:dyDescent="0.3">
      <c r="A40">
        <v>2008</v>
      </c>
      <c r="B40" t="s">
        <v>87</v>
      </c>
      <c r="C40" s="1" t="s">
        <v>88</v>
      </c>
      <c r="D40" s="4">
        <v>46169</v>
      </c>
    </row>
    <row r="41" spans="1:4" x14ac:dyDescent="0.3">
      <c r="A41">
        <v>2008</v>
      </c>
      <c r="B41" t="s">
        <v>45</v>
      </c>
      <c r="C41" s="1" t="s">
        <v>46</v>
      </c>
      <c r="D41" s="4">
        <v>46169</v>
      </c>
    </row>
    <row r="42" spans="1:4" x14ac:dyDescent="0.3">
      <c r="A42">
        <v>2009</v>
      </c>
      <c r="B42" t="s">
        <v>21</v>
      </c>
      <c r="C42" s="1" t="s">
        <v>22</v>
      </c>
      <c r="D42" s="4">
        <v>46169</v>
      </c>
    </row>
    <row r="43" spans="1:4" ht="28.8" x14ac:dyDescent="0.3">
      <c r="A43">
        <v>2009</v>
      </c>
      <c r="B43" t="s">
        <v>105</v>
      </c>
      <c r="C43" s="1" t="s">
        <v>106</v>
      </c>
      <c r="D43" s="4">
        <v>46169</v>
      </c>
    </row>
    <row r="44" spans="1:4" x14ac:dyDescent="0.3">
      <c r="A44">
        <v>2010</v>
      </c>
      <c r="B44" t="s">
        <v>12</v>
      </c>
      <c r="C44" s="1" t="s">
        <v>16</v>
      </c>
      <c r="D44" s="4">
        <v>46169</v>
      </c>
    </row>
    <row r="45" spans="1:4" ht="28.8" x14ac:dyDescent="0.3">
      <c r="A45">
        <v>2010</v>
      </c>
      <c r="B45" t="s">
        <v>156</v>
      </c>
      <c r="C45" s="1" t="s">
        <v>157</v>
      </c>
      <c r="D45" s="4">
        <v>46169</v>
      </c>
    </row>
    <row r="46" spans="1:4" x14ac:dyDescent="0.3">
      <c r="A46">
        <v>2012</v>
      </c>
      <c r="B46" t="s">
        <v>23</v>
      </c>
      <c r="C46" s="1" t="s">
        <v>24</v>
      </c>
      <c r="D46" s="4">
        <v>46169</v>
      </c>
    </row>
    <row r="47" spans="1:4" ht="72" x14ac:dyDescent="0.3">
      <c r="A47">
        <v>2012</v>
      </c>
      <c r="B47" t="s">
        <v>153</v>
      </c>
      <c r="C47" s="1" t="s">
        <v>154</v>
      </c>
      <c r="D47" s="4">
        <v>46169</v>
      </c>
    </row>
    <row r="48" spans="1:4" ht="28.8" x14ac:dyDescent="0.3">
      <c r="A48">
        <v>2013</v>
      </c>
      <c r="B48" t="s">
        <v>93</v>
      </c>
      <c r="C48" s="1" t="s">
        <v>94</v>
      </c>
      <c r="D48" s="4">
        <v>46169</v>
      </c>
    </row>
    <row r="49" spans="1:4" x14ac:dyDescent="0.3">
      <c r="A49">
        <v>2015</v>
      </c>
      <c r="B49" t="s">
        <v>91</v>
      </c>
      <c r="C49" s="1" t="s">
        <v>92</v>
      </c>
      <c r="D49" s="4">
        <v>46169</v>
      </c>
    </row>
    <row r="50" spans="1:4" ht="28.8" x14ac:dyDescent="0.3">
      <c r="A50">
        <v>2016</v>
      </c>
      <c r="B50" t="s">
        <v>54</v>
      </c>
      <c r="C50" s="1" t="s">
        <v>55</v>
      </c>
      <c r="D50" s="4">
        <v>46169</v>
      </c>
    </row>
    <row r="51" spans="1:4" x14ac:dyDescent="0.3">
      <c r="A51">
        <v>2017</v>
      </c>
      <c r="B51" t="s">
        <v>80</v>
      </c>
      <c r="C51" s="1" t="s">
        <v>163</v>
      </c>
      <c r="D51" s="4">
        <v>46169</v>
      </c>
    </row>
    <row r="52" spans="1:4" x14ac:dyDescent="0.3">
      <c r="A52">
        <v>2018</v>
      </c>
      <c r="B52" t="s">
        <v>10</v>
      </c>
      <c r="C52" s="1" t="s">
        <v>162</v>
      </c>
      <c r="D52" s="4">
        <v>46169</v>
      </c>
    </row>
    <row r="53" spans="1:4" x14ac:dyDescent="0.3">
      <c r="A53">
        <v>2019</v>
      </c>
      <c r="B53" t="s">
        <v>96</v>
      </c>
      <c r="C53" s="1" t="s">
        <v>173</v>
      </c>
      <c r="D53" s="4">
        <v>46169</v>
      </c>
    </row>
    <row r="54" spans="1:4" x14ac:dyDescent="0.3">
      <c r="A54">
        <v>2019</v>
      </c>
      <c r="B54" t="s">
        <v>15</v>
      </c>
      <c r="C54" s="1" t="s">
        <v>161</v>
      </c>
      <c r="D54" s="4">
        <v>46169</v>
      </c>
    </row>
    <row r="55" spans="1:4" ht="28.8" x14ac:dyDescent="0.3">
      <c r="A55">
        <v>2020</v>
      </c>
      <c r="B55" t="s">
        <v>81</v>
      </c>
      <c r="C55" s="1" t="s">
        <v>82</v>
      </c>
      <c r="D55" s="4">
        <v>46169</v>
      </c>
    </row>
  </sheetData>
  <autoFilter ref="A3:D3" xr:uid="{B9C8A1BB-BC35-4B82-A4F1-9F187C8922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1E16-12E7-489E-A01F-60887F7D46F5}">
  <dimension ref="A1:C29"/>
  <sheetViews>
    <sheetView workbookViewId="0">
      <pane ySplit="3" topLeftCell="A4" activePane="bottomLeft" state="frozen"/>
      <selection pane="bottomLeft" activeCell="A4" sqref="A4:XFD4"/>
    </sheetView>
  </sheetViews>
  <sheetFormatPr defaultRowHeight="14.4" x14ac:dyDescent="0.3"/>
  <cols>
    <col min="1" max="1" width="10" customWidth="1"/>
    <col min="2" max="2" width="21.77734375" bestFit="1" customWidth="1"/>
    <col min="3" max="3" width="9.5546875" bestFit="1" customWidth="1"/>
  </cols>
  <sheetData>
    <row r="1" spans="1:3" x14ac:dyDescent="0.3">
      <c r="A1" t="s">
        <v>202</v>
      </c>
    </row>
    <row r="2" spans="1:3" x14ac:dyDescent="0.3">
      <c r="A2" t="s">
        <v>333</v>
      </c>
    </row>
    <row r="3" spans="1:3" x14ac:dyDescent="0.3">
      <c r="A3" s="2" t="s">
        <v>8</v>
      </c>
      <c r="B3" s="2" t="s">
        <v>334</v>
      </c>
      <c r="C3" s="2" t="s">
        <v>214</v>
      </c>
    </row>
    <row r="4" spans="1:3" x14ac:dyDescent="0.3">
      <c r="A4">
        <v>1998</v>
      </c>
      <c r="B4" t="s">
        <v>174</v>
      </c>
      <c r="C4" s="4">
        <v>46169</v>
      </c>
    </row>
    <row r="5" spans="1:3" x14ac:dyDescent="0.3">
      <c r="A5">
        <v>1998</v>
      </c>
      <c r="B5" t="s">
        <v>175</v>
      </c>
      <c r="C5" s="4">
        <v>46169</v>
      </c>
    </row>
    <row r="6" spans="1:3" x14ac:dyDescent="0.3">
      <c r="A6">
        <v>1998</v>
      </c>
      <c r="B6" t="s">
        <v>176</v>
      </c>
      <c r="C6" s="4">
        <v>46169</v>
      </c>
    </row>
    <row r="7" spans="1:3" x14ac:dyDescent="0.3">
      <c r="A7">
        <v>1998</v>
      </c>
      <c r="B7" t="s">
        <v>177</v>
      </c>
      <c r="C7" s="4">
        <v>46169</v>
      </c>
    </row>
    <row r="8" spans="1:3" x14ac:dyDescent="0.3">
      <c r="A8">
        <v>1998</v>
      </c>
      <c r="B8" t="s">
        <v>178</v>
      </c>
      <c r="C8" s="4">
        <v>46169</v>
      </c>
    </row>
    <row r="9" spans="1:3" x14ac:dyDescent="0.3">
      <c r="A9">
        <v>1998</v>
      </c>
      <c r="B9" t="s">
        <v>179</v>
      </c>
      <c r="C9" s="4">
        <v>46169</v>
      </c>
    </row>
    <row r="10" spans="1:3" x14ac:dyDescent="0.3">
      <c r="A10">
        <v>1998</v>
      </c>
      <c r="B10" t="s">
        <v>180</v>
      </c>
      <c r="C10" s="4">
        <v>46169</v>
      </c>
    </row>
    <row r="11" spans="1:3" x14ac:dyDescent="0.3">
      <c r="A11">
        <v>1998</v>
      </c>
      <c r="B11" t="s">
        <v>181</v>
      </c>
      <c r="C11" s="4">
        <v>46169</v>
      </c>
    </row>
    <row r="12" spans="1:3" x14ac:dyDescent="0.3">
      <c r="A12">
        <v>1998</v>
      </c>
      <c r="B12" t="s">
        <v>182</v>
      </c>
      <c r="C12" s="4">
        <v>46169</v>
      </c>
    </row>
    <row r="13" spans="1:3" x14ac:dyDescent="0.3">
      <c r="A13">
        <v>1998</v>
      </c>
      <c r="B13" t="s">
        <v>183</v>
      </c>
      <c r="C13" s="4">
        <v>46169</v>
      </c>
    </row>
    <row r="14" spans="1:3" x14ac:dyDescent="0.3">
      <c r="A14">
        <v>1998</v>
      </c>
      <c r="B14" t="s">
        <v>184</v>
      </c>
      <c r="C14" s="4">
        <v>46169</v>
      </c>
    </row>
    <row r="15" spans="1:3" x14ac:dyDescent="0.3">
      <c r="A15">
        <v>1998</v>
      </c>
      <c r="B15" t="s">
        <v>185</v>
      </c>
      <c r="C15" s="4">
        <v>46169</v>
      </c>
    </row>
    <row r="16" spans="1:3" x14ac:dyDescent="0.3">
      <c r="A16">
        <v>1998</v>
      </c>
      <c r="B16" t="s">
        <v>186</v>
      </c>
      <c r="C16" s="4">
        <v>46169</v>
      </c>
    </row>
    <row r="17" spans="1:3" x14ac:dyDescent="0.3">
      <c r="A17">
        <v>1998</v>
      </c>
      <c r="B17" t="s">
        <v>191</v>
      </c>
      <c r="C17" s="4">
        <v>46169</v>
      </c>
    </row>
    <row r="18" spans="1:3" x14ac:dyDescent="0.3">
      <c r="A18">
        <v>1998</v>
      </c>
      <c r="B18" t="s">
        <v>192</v>
      </c>
      <c r="C18" s="4">
        <v>46169</v>
      </c>
    </row>
    <row r="19" spans="1:3" x14ac:dyDescent="0.3">
      <c r="A19">
        <v>1998</v>
      </c>
      <c r="B19" t="s">
        <v>193</v>
      </c>
      <c r="C19" s="4">
        <v>46169</v>
      </c>
    </row>
    <row r="20" spans="1:3" x14ac:dyDescent="0.3">
      <c r="A20">
        <v>1998</v>
      </c>
      <c r="B20" t="s">
        <v>194</v>
      </c>
      <c r="C20" s="4">
        <v>46169</v>
      </c>
    </row>
    <row r="21" spans="1:3" x14ac:dyDescent="0.3">
      <c r="A21">
        <v>1998</v>
      </c>
      <c r="B21" t="s">
        <v>195</v>
      </c>
      <c r="C21" s="4">
        <v>46169</v>
      </c>
    </row>
    <row r="22" spans="1:3" x14ac:dyDescent="0.3">
      <c r="A22">
        <v>1998</v>
      </c>
      <c r="B22" t="s">
        <v>196</v>
      </c>
      <c r="C22" s="4">
        <v>46169</v>
      </c>
    </row>
    <row r="23" spans="1:3" x14ac:dyDescent="0.3">
      <c r="A23">
        <v>1998</v>
      </c>
      <c r="B23" t="s">
        <v>197</v>
      </c>
      <c r="C23" s="4">
        <v>46169</v>
      </c>
    </row>
    <row r="24" spans="1:3" x14ac:dyDescent="0.3">
      <c r="A24">
        <v>1998</v>
      </c>
      <c r="B24" t="s">
        <v>198</v>
      </c>
      <c r="C24" s="4">
        <v>46169</v>
      </c>
    </row>
    <row r="25" spans="1:3" x14ac:dyDescent="0.3">
      <c r="A25">
        <v>1998</v>
      </c>
      <c r="B25" t="s">
        <v>199</v>
      </c>
      <c r="C25" s="4">
        <v>46169</v>
      </c>
    </row>
    <row r="26" spans="1:3" x14ac:dyDescent="0.3">
      <c r="A26">
        <v>1998</v>
      </c>
      <c r="B26" t="s">
        <v>200</v>
      </c>
      <c r="C26" s="4">
        <v>46169</v>
      </c>
    </row>
    <row r="27" spans="1:3" x14ac:dyDescent="0.3">
      <c r="A27">
        <v>1998</v>
      </c>
      <c r="B27" t="s">
        <v>201</v>
      </c>
      <c r="C27" s="4">
        <v>46169</v>
      </c>
    </row>
    <row r="28" spans="1:3" x14ac:dyDescent="0.3">
      <c r="A28">
        <v>1990</v>
      </c>
      <c r="B28" t="s">
        <v>115</v>
      </c>
      <c r="C28" s="4">
        <v>46169</v>
      </c>
    </row>
    <row r="29" spans="1:3" x14ac:dyDescent="0.3">
      <c r="A29">
        <v>1990</v>
      </c>
      <c r="B29" t="s">
        <v>117</v>
      </c>
      <c r="C29" s="4">
        <v>46169</v>
      </c>
    </row>
  </sheetData>
  <autoFilter ref="A3:C3" xr:uid="{95FC1E16-12E7-489E-A01F-60887F7D46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HN</vt:lpstr>
      <vt:lpstr>Opinions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Mauger</dc:creator>
  <cp:lastModifiedBy>Bobby Mauger</cp:lastModifiedBy>
  <dcterms:created xsi:type="dcterms:W3CDTF">2026-05-03T04:56:23Z</dcterms:created>
  <dcterms:modified xsi:type="dcterms:W3CDTF">2026-05-27T21:48:29Z</dcterms:modified>
</cp:coreProperties>
</file>